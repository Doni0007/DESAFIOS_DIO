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dcus\bootcamp_santander_dio\bootcamp_santander_dio\"/>
    </mc:Choice>
  </mc:AlternateContent>
  <xr:revisionPtr revIDLastSave="0" documentId="8_{089953EF-46B8-46B5-A053-8D3806631786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3" l="1"/>
  <c r="D44" i="3"/>
  <c r="E36" i="3"/>
  <c r="E28" i="3"/>
  <c r="E20" i="3"/>
</calcChain>
</file>

<file path=xl/sharedStrings.xml><?xml version="1.0" encoding="utf-8"?>
<sst xmlns="http://schemas.openxmlformats.org/spreadsheetml/2006/main" count="2031" uniqueCount="330">
  <si>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</si>
  <si>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</si>
  <si>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</si>
  <si>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</si>
  <si>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</si>
  <si>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</si>
  <si>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</si>
  <si>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</si>
  <si>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</si>
  <si>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</si>
  <si>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</si>
  <si>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</si>
  <si>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</si>
  <si>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</si>
  <si>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</si>
  <si>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</si>
  <si>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</si>
  <si>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</si>
  <si>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</si>
  <si>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</si>
  <si>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</si>
  <si>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</si>
  <si>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</si>
  <si>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</si>
  <si>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</si>
  <si>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</si>
  <si>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</si>
  <si>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</si>
  <si>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</si>
  <si>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</si>
  <si>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</si>
  <si>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</si>
  <si>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</si>
  <si>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</si>
  <si>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</si>
  <si>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</si>
  <si>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</si>
  <si>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</si>
  <si>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</si>
  <si>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</si>
  <si>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</si>
  <si>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</si>
  <si>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</si>
  <si>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</si>
  <si>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</si>
  <si>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</si>
  <si>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</si>
  <si>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</si>
  <si>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</si>
  <si>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</si>
  <si>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</si>
  <si>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</si>
  <si>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</si>
  <si>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</si>
  <si>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</si>
  <si>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</si>
  <si>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</si>
  <si>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</si>
  <si>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</si>
  <si>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</si>
  <si>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</si>
  <si>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</si>
  <si>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</si>
  <si>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</si>
  <si>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</si>
  <si>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</si>
  <si>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</si>
  <si>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</si>
  <si>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</si>
  <si>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</si>
  <si>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</si>
  <si>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</si>
  <si>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</si>
  <si>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</si>
  <si>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</si>
  <si>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</si>
  <si>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</si>
  <si>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</si>
  <si>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</si>
  <si>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</si>
  <si>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</si>
  <si>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</si>
  <si>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</si>
  <si>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</si>
  <si>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</si>
  <si>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</si>
  <si>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</si>
  <si>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</si>
  <si>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</si>
  <si>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</si>
  <si>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</si>
  <si>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</si>
  <si>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</si>
  <si>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</si>
  <si>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</si>
  <si>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</si>
  <si>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</si>
  <si>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</si>
  <si>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</si>
  <si>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</si>
  <si>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</si>
  <si>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</si>
  <si>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</si>
  <si>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</si>
  <si>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</si>
  <si>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</si>
  <si>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</si>
  <si>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</si>
  <si>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</si>
  <si>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</si>
  <si>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</si>
  <si>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</si>
  <si>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</si>
  <si>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</si>
  <si>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</si>
  <si>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</si>
  <si>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</si>
  <si>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</si>
  <si>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</si>
  <si>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</si>
  <si>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</si>
  <si>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</si>
  <si>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</si>
  <si>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</si>
  <si>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</si>
  <si>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</si>
  <si>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</si>
  <si>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</si>
  <si>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</si>
  <si>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</si>
  <si>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</si>
  <si>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</si>
  <si>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</si>
  <si>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</si>
  <si>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</si>
  <si>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</si>
  <si>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</si>
  <si>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</si>
  <si>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</si>
  <si>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</si>
  <si>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</si>
  <si>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</si>
  <si>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</si>
  <si>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</si>
  <si>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</si>
  <si>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</si>
  <si>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</si>
  <si>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</si>
  <si>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</si>
  <si>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</si>
  <si>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</si>
  <si>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</si>
  <si>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</si>
  <si>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</si>
  <si>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</si>
  <si>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</si>
  <si>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</si>
  <si>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</si>
  <si>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</si>
  <si>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</si>
  <si>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</si>
  <si>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</si>
  <si>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</si>
  <si>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</si>
  <si>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</si>
  <si>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</si>
  <si>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</si>
  <si>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</si>
  <si>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</si>
  <si>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</si>
  <si>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</si>
  <si>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</si>
  <si>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</si>
  <si>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</si>
  <si>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</si>
  <si>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</si>
  <si>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</si>
  <si>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</si>
  <si>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</si>
  <si>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</si>
  <si>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</si>
  <si>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</si>
  <si>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</si>
  <si>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</si>
  <si>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</si>
  <si>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</si>
  <si>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</si>
  <si>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</si>
  <si>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</si>
  <si>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</si>
  <si>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</si>
  <si>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</si>
  <si>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</si>
  <si>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</si>
  <si>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</si>
  <si>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</si>
  <si>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</si>
  <si>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</si>
  <si>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</si>
  <si>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</si>
  <si>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</si>
  <si>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</si>
  <si>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</si>
  <si>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</si>
  <si>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</si>
  <si>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</si>
  <si>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</si>
  <si>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</si>
  <si>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</si>
  <si>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</si>
  <si>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</si>
  <si>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</si>
  <si>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</si>
  <si>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</si>
  <si>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</si>
  <si>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</si>
  <si>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</si>
  <si>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</si>
  <si>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</si>
  <si>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</si>
  <si>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</si>
  <si>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</si>
  <si>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</si>
  <si>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</si>
  <si>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</si>
  <si>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</si>
  <si>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</si>
  <si>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</si>
  <si>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</si>
  <si>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</si>
  <si>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</si>
  <si>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</si>
  <si>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</si>
  <si>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</si>
  <si>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</si>
  <si>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</si>
  <si>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</si>
  <si>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</si>
  <si>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</si>
  <si>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</si>
  <si>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</si>
  <si>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</si>
  <si>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</si>
  <si>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</si>
  <si>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</si>
  <si>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</si>
  <si>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</si>
  <si>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</si>
  <si>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</si>
  <si>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</si>
  <si>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</si>
  <si>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</si>
  <si>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</si>
  <si>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</si>
  <si>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</si>
  <si>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</si>
  <si>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</si>
  <si>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</si>
  <si>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</si>
  <si>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</si>
  <si>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</si>
  <si>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</si>
  <si>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</si>
  <si>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</si>
  <si>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</si>
  <si>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</si>
  <si>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</si>
  <si>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</si>
  <si>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</si>
  <si>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</si>
  <si>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</si>
  <si>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</si>
  <si>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</si>
  <si>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</si>
  <si>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</si>
  <si>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</si>
  <si>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</si>
  <si>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</si>
  <si>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</si>
  <si>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</si>
  <si>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</si>
  <si>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</si>
  <si>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</si>
  <si>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</si>
  <si>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</si>
  <si>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</si>
  <si>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</si>
  <si>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</si>
  <si>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</si>
  <si>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</si>
  <si>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</si>
  <si>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</si>
  <si>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</si>
  <si>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</si>
  <si>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</si>
  <si>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</si>
  <si>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</si>
  <si>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</si>
  <si>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</si>
  <si>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</si>
  <si>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</si>
  <si>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</si>
  <si>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</si>
  <si>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</si>
  <si>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</si>
  <si>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</si>
  <si>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</si>
  <si>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</si>
  <si>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</si>
  <si>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</si>
  <si>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</si>
  <si>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</si>
  <si>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</si>
  <si>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01: Quantos assinantes existem para cada tipo de plano.</t>
  </si>
  <si>
    <t>Rótulos de Linha</t>
  </si>
  <si>
    <t>Total Geral</t>
  </si>
  <si>
    <t>Contagem de Subscriber ID</t>
  </si>
  <si>
    <t>%</t>
  </si>
  <si>
    <t>Total Subs. Plan</t>
  </si>
  <si>
    <t>Plans</t>
  </si>
  <si>
    <t>Soma de Total Value</t>
  </si>
  <si>
    <t>Pergunta de negócio 02: Qual o valor total de planos que incluem o EA Play Season Pass?</t>
  </si>
  <si>
    <t>Pergunta de negócio 02: Qual o valor total de planos que incluem o Minecraft Season Pass?</t>
  </si>
  <si>
    <t>Pergunta de negócio 04: Qual total de vendas atual?</t>
  </si>
  <si>
    <t>Pergunta de negócio 05: Qual %, segmentado por tipo de período?</t>
  </si>
  <si>
    <t>Pergunta de negócio 03: Total sales?</t>
  </si>
  <si>
    <t>Pergunta de negócio 06: Qual valor do Ticket médio?</t>
  </si>
  <si>
    <t>Média de Total Value</t>
  </si>
  <si>
    <t xml:space="preserve">     | XBOX GAME PASS SUBSCRIPTIONS SALES</t>
  </si>
  <si>
    <t>&gt;&gt; Bem - vinda, Amanda!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</si>
</sst>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0" fontId="4" fillId="0" borderId="3" xfId="3" applyBorder="1"/>
    <xf numFmtId="0" fontId="6" fillId="0" borderId="3" xfId="3" applyFont="1" applyBorder="1" applyAlignment="1">
      <alignment vertical="center"/>
    </xf>
    <xf numFmtId="0" fontId="6" fillId="0" borderId="3" xfId="3" applyFont="1" applyBorder="1" applyAlignment="1">
      <alignment horizontal="center" vertical="center"/>
    </xf>
    <xf numFmtId="0" fontId="5" fillId="5" borderId="0" xfId="0" applyFont="1" applyFill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EA8401D-6EA1-4512-B8B0-8525A67D1903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22C55E"/>
          </font>
          <fill>
            <patternFill patternType="solid">
              <fgColor theme="9" tint="0.79995117038483843"/>
              <bgColor theme="6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22C55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[dash_Xbox.xlsx]C̳álculos!tbl_plans_type</c:name>
    <c:fmtId val="6"/>
  </c:pivotSource>
  <c:chart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6E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BF6A8"/>
            </a:solidFill>
            <a:prstDash val="sysDash"/>
            <a:round/>
          </a:ln>
          <a:effectLst/>
        </c:spPr>
        <c:marker>
          <c:symbol val="diamond"/>
          <c:size val="6"/>
          <c:spPr>
            <a:solidFill>
              <a:srgbClr val="5BF6A8"/>
            </a:solidFill>
            <a:ln w="9525">
              <a:noFill/>
            </a:ln>
            <a:effectLst/>
          </c:spPr>
        </c:marker>
        <c:dLbl>
          <c:idx val="0"/>
          <c:spPr>
            <a:solidFill>
              <a:srgbClr val="5BF6A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5BF6A8"/>
            </a:solidFill>
            <a:prstDash val="sysDash"/>
            <a:round/>
          </a:ln>
          <a:effectLst/>
        </c:spPr>
        <c:marker>
          <c:symbol val="diamond"/>
          <c:size val="6"/>
          <c:spPr>
            <a:solidFill>
              <a:srgbClr val="5BF6A8"/>
            </a:solidFill>
            <a:ln w="9525">
              <a:noFill/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5BF6A8"/>
            </a:solidFill>
            <a:prstDash val="sysDash"/>
            <a:round/>
          </a:ln>
          <a:effectLst/>
        </c:spPr>
        <c:marker>
          <c:symbol val="diamond"/>
          <c:size val="6"/>
          <c:spPr>
            <a:solidFill>
              <a:srgbClr val="5BF6A8"/>
            </a:solidFill>
            <a:ln w="9525">
              <a:noFill/>
            </a:ln>
            <a:effectLst/>
          </c:spPr>
        </c:marke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6E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5BF6A8"/>
            </a:solidFill>
            <a:prstDash val="sysDash"/>
            <a:round/>
          </a:ln>
          <a:effectLst/>
        </c:spPr>
        <c:marker>
          <c:symbol val="diamond"/>
          <c:size val="6"/>
          <c:spPr>
            <a:solidFill>
              <a:srgbClr val="5BF6A8"/>
            </a:solidFill>
            <a:ln w="9525">
              <a:noFill/>
            </a:ln>
            <a:effectLst/>
          </c:spPr>
        </c:marker>
        <c:dLbl>
          <c:idx val="0"/>
          <c:spPr>
            <a:solidFill>
              <a:srgbClr val="5BF6A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E8E6E9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5BF6A8"/>
            </a:solidFill>
            <a:prstDash val="sysDash"/>
            <a:round/>
          </a:ln>
          <a:effectLst/>
        </c:spPr>
        <c:marker>
          <c:symbol val="diamond"/>
          <c:size val="6"/>
          <c:spPr>
            <a:solidFill>
              <a:srgbClr val="5BF6A8"/>
            </a:solidFill>
            <a:ln w="9525">
              <a:noFill/>
            </a:ln>
            <a:effectLst/>
          </c:spPr>
        </c:marker>
        <c:dLbl>
          <c:idx val="0"/>
          <c:spPr>
            <a:solidFill>
              <a:srgbClr val="5BF6A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 Subs. Plan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8E6E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C̳álculos!$D$9:$D$12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6-43C3-AE6C-70D242956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258959"/>
        <c:axId val="1733259439"/>
      </c:barChart>
      <c:lineChart>
        <c:grouping val="standard"/>
        <c:varyColors val="0"/>
        <c:ser>
          <c:idx val="1"/>
          <c:order val="1"/>
          <c:tx>
            <c:strRef>
              <c:f>C̳álculos!$E$8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rgbClr val="5BF6A8"/>
              </a:solidFill>
              <a:prstDash val="sysDash"/>
              <a:round/>
            </a:ln>
            <a:effectLst/>
          </c:spPr>
          <c:marker>
            <c:symbol val="diamond"/>
            <c:size val="6"/>
            <c:spPr>
              <a:solidFill>
                <a:srgbClr val="5BF6A8"/>
              </a:solidFill>
              <a:ln w="9525">
                <a:noFill/>
              </a:ln>
              <a:effectLst/>
            </c:spPr>
          </c:marker>
          <c:dLbls>
            <c:spPr>
              <a:solidFill>
                <a:srgbClr val="5BF6A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C̳álculos!$E$9:$E$12</c:f>
              <c:numCache>
                <c:formatCode>0.00%</c:formatCode>
                <c:ptCount val="3"/>
                <c:pt idx="0">
                  <c:v>0.34237288135593219</c:v>
                </c:pt>
                <c:pt idx="1">
                  <c:v>0.3254237288135593</c:v>
                </c:pt>
                <c:pt idx="2">
                  <c:v>0.33220338983050846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6-43C3-AE6C-70D242956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245999"/>
        <c:axId val="1733255119"/>
      </c:lineChart>
      <c:catAx>
        <c:axId val="173325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259439"/>
        <c:crosses val="autoZero"/>
        <c:auto val="1"/>
        <c:lblAlgn val="ctr"/>
        <c:lblOffset val="100"/>
        <c:noMultiLvlLbl val="0"/>
      </c:catAx>
      <c:valAx>
        <c:axId val="173325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258959"/>
        <c:crosses val="autoZero"/>
        <c:crossBetween val="between"/>
      </c:valAx>
      <c:valAx>
        <c:axId val="173325511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3245999"/>
        <c:crosses val="max"/>
        <c:crossBetween val="between"/>
      </c:valAx>
      <c:catAx>
        <c:axId val="1733245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325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[dash_Xbox.xlsx]C̳álculos!Tabela dinâmica6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854235078369292"/>
          <c:y val="0.13691935054947424"/>
          <c:w val="0.81823211520156147"/>
          <c:h val="0.70741561773883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B7-41BE-BAEA-CA152EAE70A8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B7-41BE-BAEA-CA152EAE70A8}"/>
              </c:ext>
            </c:extLst>
          </c:dPt>
          <c:dPt>
            <c:idx val="2"/>
            <c:invertIfNegative val="0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C̳álculos!$C$49:$C$52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C̳álculos!$D$49:$D$52</c:f>
              <c:numCache>
                <c:formatCode>0.00%</c:formatCode>
                <c:ptCount val="3"/>
                <c:pt idx="0">
                  <c:v>0.47118644067796611</c:v>
                </c:pt>
                <c:pt idx="1">
                  <c:v>0.28813559322033899</c:v>
                </c:pt>
                <c:pt idx="2">
                  <c:v>0.24067796610169492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B7-41BE-BAEA-CA152EAE7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9327727"/>
        <c:axId val="2049334927"/>
      </c:barChart>
      <c:valAx>
        <c:axId val="2049334927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2049327727"/>
        <c:crossBetween val="between"/>
      </c:valAx>
      <c:catAx>
        <c:axId val="20493277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9334927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5.png"/><Relationship Id="rId3" Type="http://schemas.openxmlformats.org/officeDocument/2006/relationships/image" Target="../media/image9.png"/><Relationship Id="rId7" Type="http://schemas.openxmlformats.org/officeDocument/2006/relationships/image" Target="../media/image17.png"/><Relationship Id="rId12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20.png"/><Relationship Id="rId5" Type="http://schemas.openxmlformats.org/officeDocument/2006/relationships/image" Target="../media/image7.png"/><Relationship Id="rId10" Type="http://schemas.openxmlformats.org/officeDocument/2006/relationships/chart" Target="../charts/chart2.xml"/><Relationship Id="rId4" Type="http://schemas.openxmlformats.org/officeDocument/2006/relationships/image" Target="../media/image10.sv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14</xdr:col>
      <xdr:colOff>428014</xdr:colOff>
      <xdr:row>13</xdr:row>
      <xdr:rowOff>28574</xdr:rowOff>
    </xdr:from>
    <xdr:to>
      <xdr:col>15</xdr:col>
      <xdr:colOff>523265</xdr:colOff>
      <xdr:row>16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59939B8-8201-5D54-367A-1F22E9158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0939" y="2657474"/>
          <a:ext cx="704851" cy="704851"/>
        </a:xfrm>
        <a:prstGeom prst="rect">
          <a:avLst/>
        </a:prstGeom>
      </xdr:spPr>
    </xdr:pic>
    <xdr:clientData/>
  </xdr:twoCellAnchor>
  <xdr:twoCellAnchor editAs="oneCell">
    <xdr:from>
      <xdr:col>12</xdr:col>
      <xdr:colOff>579306</xdr:colOff>
      <xdr:row>13</xdr:row>
      <xdr:rowOff>19051</xdr:rowOff>
    </xdr:from>
    <xdr:to>
      <xdr:col>14</xdr:col>
      <xdr:colOff>141156</xdr:colOff>
      <xdr:row>17</xdr:row>
      <xdr:rowOff>38101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5BB16EC-5951-B93A-155E-B25FECE5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3031" y="264795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9</xdr:col>
      <xdr:colOff>132740</xdr:colOff>
      <xdr:row>17</xdr:row>
      <xdr:rowOff>114300</xdr:rowOff>
    </xdr:from>
    <xdr:to>
      <xdr:col>9</xdr:col>
      <xdr:colOff>570890</xdr:colOff>
      <xdr:row>19</xdr:row>
      <xdr:rowOff>171450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F36E9CC-D4D0-2E8E-08CA-20376E99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7665" y="3505200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10</xdr:col>
      <xdr:colOff>296997</xdr:colOff>
      <xdr:row>17</xdr:row>
      <xdr:rowOff>76200</xdr:rowOff>
    </xdr:from>
    <xdr:to>
      <xdr:col>11</xdr:col>
      <xdr:colOff>354147</xdr:colOff>
      <xdr:row>20</xdr:row>
      <xdr:rowOff>171450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62029BC6-B30F-F68A-9F10-FAB35BE00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1522" y="34671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12</xdr:col>
      <xdr:colOff>62687</xdr:colOff>
      <xdr:row>17</xdr:row>
      <xdr:rowOff>110313</xdr:rowOff>
    </xdr:from>
    <xdr:to>
      <xdr:col>12</xdr:col>
      <xdr:colOff>600075</xdr:colOff>
      <xdr:row>20</xdr:row>
      <xdr:rowOff>76201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CA1BA87E-D143-1B5A-15D6-552CB5A1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6412" y="3501213"/>
          <a:ext cx="537388" cy="537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</xdr:colOff>
      <xdr:row>0</xdr:row>
      <xdr:rowOff>59531</xdr:rowOff>
    </xdr:from>
    <xdr:to>
      <xdr:col>3</xdr:col>
      <xdr:colOff>11907</xdr:colOff>
      <xdr:row>1</xdr:row>
      <xdr:rowOff>381000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BEDE2B-2117-402F-9173-235E1A044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709" b="-10870"/>
        <a:stretch>
          <a:fillRect/>
        </a:stretch>
      </xdr:blipFill>
      <xdr:spPr>
        <a:xfrm>
          <a:off x="2178844" y="59531"/>
          <a:ext cx="559594" cy="511969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11906</xdr:colOff>
      <xdr:row>5</xdr:row>
      <xdr:rowOff>83343</xdr:rowOff>
    </xdr:from>
    <xdr:to>
      <xdr:col>0</xdr:col>
      <xdr:colOff>1840706</xdr:colOff>
      <xdr:row>12</xdr:row>
      <xdr:rowOff>73818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B5ACD907-7E78-4E4E-A386-F5AC7EE3EA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259961"/>
              <a:ext cx="1828800" cy="13351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107157</xdr:colOff>
      <xdr:row>5</xdr:row>
      <xdr:rowOff>47625</xdr:rowOff>
    </xdr:from>
    <xdr:to>
      <xdr:col>17</xdr:col>
      <xdr:colOff>452438</xdr:colOff>
      <xdr:row>10</xdr:row>
      <xdr:rowOff>166688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5890C881-9110-7348-23ED-E69B746710BB}"/>
            </a:ext>
          </a:extLst>
        </xdr:cNvPr>
        <xdr:cNvGrpSpPr/>
      </xdr:nvGrpSpPr>
      <xdr:grpSpPr>
        <a:xfrm>
          <a:off x="8096951" y="1224243"/>
          <a:ext cx="3370869" cy="1082769"/>
          <a:chOff x="2155031" y="976312"/>
          <a:chExt cx="3131344" cy="1071563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C̳álculos!E28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7D2DE4FC-695F-748B-F99E-642553F75F5E}"/>
              </a:ext>
            </a:extLst>
          </xdr:cNvPr>
          <xdr:cNvSpPr/>
        </xdr:nvSpPr>
        <xdr:spPr>
          <a:xfrm>
            <a:off x="2155031" y="1262062"/>
            <a:ext cx="3131344" cy="7858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0FA994BF-6100-46DE-93E8-A0BA319CE4B9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r"/>
              <a:t> R$ 7.189,00 </a:t>
            </a:fld>
            <a:endParaRPr lang="pt-BR" sz="2800">
              <a:solidFill>
                <a:srgbClr val="22C55E"/>
              </a:solidFill>
            </a:endParaRPr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757312A4-D142-4F11-950E-C316CB22616C}"/>
              </a:ext>
            </a:extLst>
          </xdr:cNvPr>
          <xdr:cNvGrpSpPr/>
        </xdr:nvGrpSpPr>
        <xdr:grpSpPr>
          <a:xfrm>
            <a:off x="2428876" y="1404938"/>
            <a:ext cx="666750" cy="466726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C6BC847F-3ECC-78B2-9563-14E4F65562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195458B2-60E1-E12F-9E90-852F2326E2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F2619BD0-7E59-08D6-7D05-CF3D4A0C58D5}"/>
              </a:ext>
            </a:extLst>
          </xdr:cNvPr>
          <xdr:cNvSpPr/>
        </xdr:nvSpPr>
        <xdr:spPr>
          <a:xfrm>
            <a:off x="2166937" y="976312"/>
            <a:ext cx="3119438" cy="3214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aseline="0">
                <a:latin typeface="Segoe UI" panose="020B0502040204020203" pitchFamily="34" charset="0"/>
                <a:cs typeface="Segoe UI" panose="020B0502040204020203" pitchFamily="34" charset="0"/>
              </a:rPr>
              <a:t> Plans whit </a:t>
            </a:r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Minecraft Season Pass</a:t>
            </a:r>
          </a:p>
        </xdr:txBody>
      </xdr:sp>
    </xdr:grpSp>
    <xdr:clientData/>
  </xdr:twoCellAnchor>
  <xdr:twoCellAnchor editAs="absolute">
    <xdr:from>
      <xdr:col>17</xdr:col>
      <xdr:colOff>521495</xdr:colOff>
      <xdr:row>5</xdr:row>
      <xdr:rowOff>33337</xdr:rowOff>
    </xdr:from>
    <xdr:to>
      <xdr:col>23</xdr:col>
      <xdr:colOff>452438</xdr:colOff>
      <xdr:row>11</xdr:row>
      <xdr:rowOff>71438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9EB751AC-EA20-6AEB-CC11-51506D21B462}"/>
            </a:ext>
          </a:extLst>
        </xdr:cNvPr>
        <xdr:cNvGrpSpPr/>
      </xdr:nvGrpSpPr>
      <xdr:grpSpPr>
        <a:xfrm>
          <a:off x="11536877" y="1209955"/>
          <a:ext cx="3561649" cy="1192307"/>
          <a:chOff x="8284369" y="985837"/>
          <a:chExt cx="3574256" cy="1181101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C̳álculos!E20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13666DC1-9BD4-77F9-9E18-901FC8727A6E}"/>
              </a:ext>
            </a:extLst>
          </xdr:cNvPr>
          <xdr:cNvSpPr/>
        </xdr:nvSpPr>
        <xdr:spPr>
          <a:xfrm>
            <a:off x="8284369" y="1271587"/>
            <a:ext cx="3574256" cy="78581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52EFD23B-0EFD-4444-A70A-C037E9AB422E}" type="TxLink">
              <a:rPr lang="en-US" sz="2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R$ 5.388,00 </a:t>
            </a:fld>
            <a:endParaRPr lang="pt-BR" sz="54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EA075C29-1F60-38EC-FB1D-6CC2BBE17821}"/>
              </a:ext>
            </a:extLst>
          </xdr:cNvPr>
          <xdr:cNvSpPr/>
        </xdr:nvSpPr>
        <xdr:spPr>
          <a:xfrm>
            <a:off x="8296275" y="985837"/>
            <a:ext cx="3538538" cy="3214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aseline="0">
                <a:latin typeface="Segoe UI" panose="020B0502040204020203" pitchFamily="34" charset="0"/>
                <a:cs typeface="Segoe UI" panose="020B0502040204020203" pitchFamily="34" charset="0"/>
              </a:rPr>
              <a:t> Plans whit </a:t>
            </a:r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EA Play Season PassPass</a:t>
            </a:r>
          </a:p>
        </xdr:txBody>
      </xdr:sp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36BCC96F-8847-423B-A977-AD18B0ED3C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20126" y="1238250"/>
            <a:ext cx="797718" cy="928688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119062</xdr:colOff>
      <xdr:row>11</xdr:row>
      <xdr:rowOff>142875</xdr:rowOff>
    </xdr:from>
    <xdr:to>
      <xdr:col>13</xdr:col>
      <xdr:colOff>559594</xdr:colOff>
      <xdr:row>27</xdr:row>
      <xdr:rowOff>107156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9AADE9B0-16DA-BED0-BBD4-AD6293606E82}"/>
            </a:ext>
          </a:extLst>
        </xdr:cNvPr>
        <xdr:cNvGrpSpPr/>
      </xdr:nvGrpSpPr>
      <xdr:grpSpPr>
        <a:xfrm>
          <a:off x="1990444" y="2473699"/>
          <a:ext cx="7164062" cy="3012281"/>
          <a:chOff x="2000250" y="2238375"/>
          <a:chExt cx="7679531" cy="3012281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E3171AB5-30C5-E51C-5C1D-8A349B4C5FC0}"/>
              </a:ext>
            </a:extLst>
          </xdr:cNvPr>
          <xdr:cNvGrpSpPr/>
        </xdr:nvGrpSpPr>
        <xdr:grpSpPr>
          <a:xfrm>
            <a:off x="2000251" y="2464593"/>
            <a:ext cx="7679530" cy="2786063"/>
            <a:chOff x="2012157" y="1012031"/>
            <a:chExt cx="3929062" cy="2786063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EAAE9167-654E-F24C-8C49-913A2A80F3A0}"/>
                </a:ext>
              </a:extLst>
            </xdr:cNvPr>
            <xdr:cNvSpPr/>
          </xdr:nvSpPr>
          <xdr:spPr>
            <a:xfrm>
              <a:off x="2012157" y="1012031"/>
              <a:ext cx="3929062" cy="2786063"/>
            </a:xfrm>
            <a:prstGeom prst="roundRect">
              <a:avLst>
                <a:gd name="adj" fmla="val 940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17AEBB0-F428-432B-8F60-CA9F18C77942}"/>
                </a:ext>
              </a:extLst>
            </xdr:cNvPr>
            <xdr:cNvGraphicFramePr>
              <a:graphicFrameLocks/>
            </xdr:cNvGraphicFramePr>
          </xdr:nvGraphicFramePr>
          <xdr:xfrm>
            <a:off x="2071687" y="1369218"/>
            <a:ext cx="3774282" cy="216693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4668E3EE-6E4A-67E1-D219-8B721CA5355F}"/>
              </a:ext>
            </a:extLst>
          </xdr:cNvPr>
          <xdr:cNvSpPr/>
        </xdr:nvSpPr>
        <xdr:spPr>
          <a:xfrm>
            <a:off x="2000250" y="2238375"/>
            <a:ext cx="7679531" cy="4286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2000">
                <a:latin typeface="Segoe UI" panose="020B0502040204020203" pitchFamily="34" charset="0"/>
                <a:cs typeface="Segoe UI" panose="020B0502040204020203" pitchFamily="34" charset="0"/>
              </a:rPr>
              <a:t>       | Plans</a:t>
            </a:r>
          </a:p>
        </xdr:txBody>
      </xdr:sp>
    </xdr:grpSp>
    <xdr:clientData/>
  </xdr:twoCellAnchor>
  <xdr:twoCellAnchor editAs="absolute">
    <xdr:from>
      <xdr:col>0</xdr:col>
      <xdr:colOff>35719</xdr:colOff>
      <xdr:row>12</xdr:row>
      <xdr:rowOff>166688</xdr:rowOff>
    </xdr:from>
    <xdr:to>
      <xdr:col>0</xdr:col>
      <xdr:colOff>1864519</xdr:colOff>
      <xdr:row>19</xdr:row>
      <xdr:rowOff>166688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Plan">
              <a:extLst>
                <a:ext uri="{FF2B5EF4-FFF2-40B4-BE49-F238E27FC236}">
                  <a16:creationId xmlns:a16="http://schemas.microsoft.com/office/drawing/2014/main" id="{526BF185-0309-4533-A64F-2F4F97349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2688012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271462</xdr:colOff>
      <xdr:row>5</xdr:row>
      <xdr:rowOff>57149</xdr:rowOff>
    </xdr:from>
    <xdr:to>
      <xdr:col>12</xdr:col>
      <xdr:colOff>57150</xdr:colOff>
      <xdr:row>11</xdr:row>
      <xdr:rowOff>9524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4AC4AF7A-B683-7A09-D6B3-DDCF25144BDD}"/>
            </a:ext>
          </a:extLst>
        </xdr:cNvPr>
        <xdr:cNvGrpSpPr/>
      </xdr:nvGrpSpPr>
      <xdr:grpSpPr>
        <a:xfrm>
          <a:off x="5403756" y="1233767"/>
          <a:ext cx="2643188" cy="1106581"/>
          <a:chOff x="5426868" y="1021555"/>
          <a:chExt cx="2655095" cy="1095375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E7ACC43F-E7BD-7160-93D5-001516065A2F}"/>
              </a:ext>
            </a:extLst>
          </xdr:cNvPr>
          <xdr:cNvGrpSpPr/>
        </xdr:nvGrpSpPr>
        <xdr:grpSpPr>
          <a:xfrm>
            <a:off x="5426868" y="1021555"/>
            <a:ext cx="2655095" cy="1095375"/>
            <a:chOff x="5093493" y="997743"/>
            <a:chExt cx="2655095" cy="1095375"/>
          </a:xfrm>
        </xdr:grpSpPr>
        <xdr:sp macro="" textlink="C̳álculos!D44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5BF40E81-7896-4E5C-A46A-3059FE165466}"/>
                </a:ext>
              </a:extLst>
            </xdr:cNvPr>
            <xdr:cNvSpPr/>
          </xdr:nvSpPr>
          <xdr:spPr>
            <a:xfrm>
              <a:off x="5105400" y="1235869"/>
              <a:ext cx="2643188" cy="85724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57ADE1BE-6E5F-4A5C-B07F-0678FF386DB7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  <a:cs typeface="Segoe UI" panose="020B0502040204020203" pitchFamily="34" charset="0"/>
                </a:rPr>
                <a:pPr algn="r"/>
                <a:t> R$ 7.633,00 </a:t>
              </a:fld>
              <a:endParaRPr lang="pt-BR" sz="6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4" name="Retângulo: Cantos Superiores Arredondados 33">
              <a:extLst>
                <a:ext uri="{FF2B5EF4-FFF2-40B4-BE49-F238E27FC236}">
                  <a16:creationId xmlns:a16="http://schemas.microsoft.com/office/drawing/2014/main" id="{88A44AA7-FB85-42DF-8430-49F638CA5D9D}"/>
                </a:ext>
              </a:extLst>
            </xdr:cNvPr>
            <xdr:cNvSpPr/>
          </xdr:nvSpPr>
          <xdr:spPr>
            <a:xfrm>
              <a:off x="5093493" y="997743"/>
              <a:ext cx="2643188" cy="32146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rtl="0"/>
              <a:r>
                <a:rPr lang="pt-BR" sz="1400" b="0" i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Sales Value</a:t>
              </a:r>
            </a:p>
          </xdr:txBody>
        </xdr:sp>
      </xdr:grpSp>
      <xdr:pic>
        <xdr:nvPicPr>
          <xdr:cNvPr id="45" name="Imagem 44">
            <a:extLst>
              <a:ext uri="{FF2B5EF4-FFF2-40B4-BE49-F238E27FC236}">
                <a16:creationId xmlns:a16="http://schemas.microsoft.com/office/drawing/2014/main" id="{F751588C-90EA-B098-1A36-E3C7392722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32326" y="1484202"/>
            <a:ext cx="420798" cy="420798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4</xdr:col>
      <xdr:colOff>154782</xdr:colOff>
      <xdr:row>5</xdr:row>
      <xdr:rowOff>35718</xdr:rowOff>
    </xdr:from>
    <xdr:to>
      <xdr:col>7</xdr:col>
      <xdr:colOff>226220</xdr:colOff>
      <xdr:row>10</xdr:row>
      <xdr:rowOff>176211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17F42ECE-AD8A-E5E6-A68B-7F42FA4AA705}"/>
            </a:ext>
          </a:extLst>
        </xdr:cNvPr>
        <xdr:cNvGrpSpPr/>
      </xdr:nvGrpSpPr>
      <xdr:grpSpPr>
        <a:xfrm>
          <a:off x="3471723" y="1212336"/>
          <a:ext cx="1886791" cy="1104199"/>
          <a:chOff x="3640930" y="1000124"/>
          <a:chExt cx="1595439" cy="1092993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grpSp>
        <xdr:nvGrpSpPr>
          <xdr:cNvPr id="41" name="Agrupar 40">
            <a:extLst>
              <a:ext uri="{FF2B5EF4-FFF2-40B4-BE49-F238E27FC236}">
                <a16:creationId xmlns:a16="http://schemas.microsoft.com/office/drawing/2014/main" id="{5F2B5C4F-8638-4E0E-A485-EF6E56FA5361}"/>
              </a:ext>
            </a:extLst>
          </xdr:cNvPr>
          <xdr:cNvGrpSpPr/>
        </xdr:nvGrpSpPr>
        <xdr:grpSpPr>
          <a:xfrm>
            <a:off x="3640930" y="1000124"/>
            <a:ext cx="1595439" cy="1092993"/>
            <a:chOff x="2166937" y="930693"/>
            <a:chExt cx="2655094" cy="1105275"/>
          </a:xfrm>
        </xdr:grpSpPr>
        <xdr:sp macro="" textlink="C̳álculos!D58">
          <xdr:nvSpPr>
            <xdr:cNvPr id="42" name="Retângulo: Cantos Arredondados 41">
              <a:extLst>
                <a:ext uri="{FF2B5EF4-FFF2-40B4-BE49-F238E27FC236}">
                  <a16:creationId xmlns:a16="http://schemas.microsoft.com/office/drawing/2014/main" id="{1E65E675-9D42-8DA1-EEF1-FCF7AAA81599}"/>
                </a:ext>
              </a:extLst>
            </xdr:cNvPr>
            <xdr:cNvSpPr/>
          </xdr:nvSpPr>
          <xdr:spPr>
            <a:xfrm>
              <a:off x="2178843" y="1178719"/>
              <a:ext cx="2643188" cy="85724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ED49E8FA-7169-466A-987D-8023697FB606}" type="TxLink">
                <a:rPr lang="en-US" sz="24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r"/>
                <a:t> R$ 25,87 </a:t>
              </a:fld>
              <a:endParaRPr lang="pt-BR" sz="54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43" name="Retângulo: Cantos Superiores Arredondados 42">
              <a:extLst>
                <a:ext uri="{FF2B5EF4-FFF2-40B4-BE49-F238E27FC236}">
                  <a16:creationId xmlns:a16="http://schemas.microsoft.com/office/drawing/2014/main" id="{F51BAEB6-DF58-A450-A2CF-4BC47129D4BF}"/>
                </a:ext>
              </a:extLst>
            </xdr:cNvPr>
            <xdr:cNvSpPr/>
          </xdr:nvSpPr>
          <xdr:spPr>
            <a:xfrm>
              <a:off x="2166937" y="930693"/>
              <a:ext cx="2643188" cy="37324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rtl="0"/>
              <a:r>
                <a:rPr lang="pt-BR" sz="1050" b="0" i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Ticket</a:t>
              </a:r>
              <a:r>
                <a:rPr lang="pt-BR" sz="1050" b="0" i="0" baseline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Average</a:t>
              </a:r>
              <a:endParaRPr lang="pt-BR" sz="1050" b="0" i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47" name="Imagem 46">
            <a:extLst>
              <a:ext uri="{FF2B5EF4-FFF2-40B4-BE49-F238E27FC236}">
                <a16:creationId xmlns:a16="http://schemas.microsoft.com/office/drawing/2014/main" id="{973E097A-1DA7-E28C-738A-632CB1FA72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49846" y="1512094"/>
            <a:ext cx="434446" cy="333375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</xdr:col>
      <xdr:colOff>178592</xdr:colOff>
      <xdr:row>5</xdr:row>
      <xdr:rowOff>23814</xdr:rowOff>
    </xdr:from>
    <xdr:to>
      <xdr:col>4</xdr:col>
      <xdr:colOff>130969</xdr:colOff>
      <xdr:row>10</xdr:row>
      <xdr:rowOff>178593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7D47C3C1-1B8A-7ADF-F74B-D80D1C339837}"/>
            </a:ext>
          </a:extLst>
        </xdr:cNvPr>
        <xdr:cNvGrpSpPr/>
      </xdr:nvGrpSpPr>
      <xdr:grpSpPr>
        <a:xfrm>
          <a:off x="2049974" y="1200432"/>
          <a:ext cx="1397936" cy="1118485"/>
          <a:chOff x="2059780" y="988220"/>
          <a:chExt cx="1404939" cy="1107279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AA6FFB0F-FD41-4FAD-040D-76A043832E28}"/>
              </a:ext>
            </a:extLst>
          </xdr:cNvPr>
          <xdr:cNvGrpSpPr/>
        </xdr:nvGrpSpPr>
        <xdr:grpSpPr>
          <a:xfrm>
            <a:off x="2059780" y="988220"/>
            <a:ext cx="1404939" cy="1107279"/>
            <a:chOff x="2166937" y="916247"/>
            <a:chExt cx="2655094" cy="1119721"/>
          </a:xfrm>
        </xdr:grpSpPr>
        <xdr:sp macro="" textlink="C̳álculos!E36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9FB9A56F-3B82-5DE7-1CE2-47B14570575B}"/>
                </a:ext>
              </a:extLst>
            </xdr:cNvPr>
            <xdr:cNvSpPr/>
          </xdr:nvSpPr>
          <xdr:spPr>
            <a:xfrm>
              <a:off x="2178843" y="1178719"/>
              <a:ext cx="2643188" cy="85724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B4117178-ABC7-4977-9BF6-40C23E2C9712}" type="TxLink">
                <a:rPr lang="en-US" sz="28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r"/>
                <a:t>295</a:t>
              </a:fld>
              <a:endParaRPr lang="pt-BR" sz="28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06F84E62-5D80-B4AD-7DDF-E872FEAACAE5}"/>
                </a:ext>
              </a:extLst>
            </xdr:cNvPr>
            <xdr:cNvSpPr/>
          </xdr:nvSpPr>
          <xdr:spPr>
            <a:xfrm>
              <a:off x="2166937" y="916247"/>
              <a:ext cx="2643188" cy="39732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rtl="0"/>
              <a:r>
                <a:rPr lang="pt-BR" sz="1050" b="0" i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Subscriptions</a:t>
              </a:r>
            </a:p>
          </xdr:txBody>
        </xdr:sp>
      </xdr:grpSp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FFE7444C-4B9F-47F4-843D-9005DA1CCB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8845" y="1497806"/>
            <a:ext cx="380999" cy="380999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</xdr:col>
      <xdr:colOff>226218</xdr:colOff>
      <xdr:row>3</xdr:row>
      <xdr:rowOff>0</xdr:rowOff>
    </xdr:from>
    <xdr:to>
      <xdr:col>10</xdr:col>
      <xdr:colOff>476249</xdr:colOff>
      <xdr:row>4</xdr:row>
      <xdr:rowOff>47624</xdr:rowOff>
    </xdr:to>
    <xdr:sp macro="" textlink="">
      <xdr:nvSpPr>
        <xdr:cNvPr id="53" name="Retângulo: Cantos Superiores Arredondados 52">
          <a:extLst>
            <a:ext uri="{FF2B5EF4-FFF2-40B4-BE49-F238E27FC236}">
              <a16:creationId xmlns:a16="http://schemas.microsoft.com/office/drawing/2014/main" id="{94129375-AC2D-4B75-4DC4-B0A79D11578C}"/>
            </a:ext>
          </a:extLst>
        </xdr:cNvPr>
        <xdr:cNvSpPr/>
      </xdr:nvSpPr>
      <xdr:spPr>
        <a:xfrm>
          <a:off x="2107406" y="845344"/>
          <a:ext cx="5345906" cy="273843"/>
        </a:xfrm>
        <a:prstGeom prst="round2SameRect">
          <a:avLst/>
        </a:prstGeom>
        <a:solidFill>
          <a:schemeClr val="bg2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Reporting period: 2024-01-01</a:t>
          </a:r>
          <a:r>
            <a:rPr lang="pt-B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/ 2024-12-16| </a:t>
          </a:r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Last update: 2024-12-31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14</xdr:col>
      <xdr:colOff>357187</xdr:colOff>
      <xdr:row>11</xdr:row>
      <xdr:rowOff>107156</xdr:rowOff>
    </xdr:from>
    <xdr:to>
      <xdr:col>23</xdr:col>
      <xdr:colOff>427162</xdr:colOff>
      <xdr:row>27</xdr:row>
      <xdr:rowOff>119062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E3BDE618-7B7A-9E76-0F16-3226A7A399FA}"/>
            </a:ext>
          </a:extLst>
        </xdr:cNvPr>
        <xdr:cNvGrpSpPr/>
      </xdr:nvGrpSpPr>
      <xdr:grpSpPr>
        <a:xfrm>
          <a:off x="9557216" y="2437980"/>
          <a:ext cx="5516034" cy="3059906"/>
          <a:chOff x="9596437" y="2428875"/>
          <a:chExt cx="5534944" cy="2988469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BDCB1B9E-22EC-53F7-FAB7-8523D04C981E}"/>
              </a:ext>
            </a:extLst>
          </xdr:cNvPr>
          <xdr:cNvGrpSpPr/>
        </xdr:nvGrpSpPr>
        <xdr:grpSpPr>
          <a:xfrm>
            <a:off x="9596437" y="2428875"/>
            <a:ext cx="5534944" cy="2988469"/>
            <a:chOff x="9989344" y="2524125"/>
            <a:chExt cx="5534944" cy="2988469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C8FE76CA-3428-59D2-A0D1-7C2A9EAC3368}"/>
                </a:ext>
              </a:extLst>
            </xdr:cNvPr>
            <xdr:cNvGrpSpPr/>
          </xdr:nvGrpSpPr>
          <xdr:grpSpPr>
            <a:xfrm>
              <a:off x="9989344" y="2774156"/>
              <a:ext cx="5534944" cy="2738438"/>
              <a:chOff x="6322219" y="2512218"/>
              <a:chExt cx="3927600" cy="2786400"/>
            </a:xfrm>
          </xdr:grpSpPr>
          <xdr:sp macro="" textlink="">
            <xdr:nvSpPr>
              <xdr:cNvPr id="11" name="Retângulo: Cantos Arredondados 10">
                <a:extLst>
                  <a:ext uri="{FF2B5EF4-FFF2-40B4-BE49-F238E27FC236}">
                    <a16:creationId xmlns:a16="http://schemas.microsoft.com/office/drawing/2014/main" id="{50316BF9-78BF-8D86-326B-9F2940E9E174}"/>
                  </a:ext>
                </a:extLst>
              </xdr:cNvPr>
              <xdr:cNvSpPr/>
            </xdr:nvSpPr>
            <xdr:spPr>
              <a:xfrm>
                <a:off x="6322219" y="2512218"/>
                <a:ext cx="3927600" cy="2786400"/>
              </a:xfrm>
              <a:prstGeom prst="roundRect">
                <a:avLst>
                  <a:gd name="adj" fmla="val 9111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8" name="Gráfico 7">
                <a:extLst>
                  <a:ext uri="{FF2B5EF4-FFF2-40B4-BE49-F238E27FC236}">
                    <a16:creationId xmlns:a16="http://schemas.microsoft.com/office/drawing/2014/main" id="{85041CEA-1923-4673-9B88-0680583378A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432052" y="2620428"/>
              <a:ext cx="3583484" cy="254292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FD848EA6-4763-7749-6306-1F828849315C}"/>
                </a:ext>
              </a:extLst>
            </xdr:cNvPr>
            <xdr:cNvSpPr/>
          </xdr:nvSpPr>
          <xdr:spPr>
            <a:xfrm>
              <a:off x="9989344" y="2524125"/>
              <a:ext cx="5512593" cy="42862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2000">
                  <a:latin typeface="Segoe UI" panose="020B0502040204020203" pitchFamily="34" charset="0"/>
                  <a:cs typeface="Segoe UI" panose="020B0502040204020203" pitchFamily="34" charset="0"/>
                </a:rPr>
                <a:t>      | Subscription Type</a:t>
              </a:r>
            </a:p>
          </xdr:txBody>
        </xdr:sp>
      </xdr:grpSp>
      <xdr:pic>
        <xdr:nvPicPr>
          <xdr:cNvPr id="54" name="Imagem 53">
            <a:extLst>
              <a:ext uri="{FF2B5EF4-FFF2-40B4-BE49-F238E27FC236}">
                <a16:creationId xmlns:a16="http://schemas.microsoft.com/office/drawing/2014/main" id="{E552CC94-EB46-46D2-B7CF-B79E5F057F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67876" y="2476501"/>
            <a:ext cx="369094" cy="369094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 editAs="oneCell">
    <xdr:from>
      <xdr:col>1</xdr:col>
      <xdr:colOff>154781</xdr:colOff>
      <xdr:row>11</xdr:row>
      <xdr:rowOff>154782</xdr:rowOff>
    </xdr:from>
    <xdr:to>
      <xdr:col>2</xdr:col>
      <xdr:colOff>454044</xdr:colOff>
      <xdr:row>13</xdr:row>
      <xdr:rowOff>156388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D6576974-1224-4428-A5CA-57C7801D0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5969" y="2476501"/>
          <a:ext cx="537388" cy="382606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583406</xdr:colOff>
      <xdr:row>0</xdr:row>
      <xdr:rowOff>130968</xdr:rowOff>
    </xdr:from>
    <xdr:to>
      <xdr:col>0</xdr:col>
      <xdr:colOff>1278731</xdr:colOff>
      <xdr:row>2</xdr:row>
      <xdr:rowOff>242887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F43A8742-4FB2-4E8A-9888-DFFA3F98ED12}"/>
            </a:ext>
          </a:extLst>
        </xdr:cNvPr>
        <xdr:cNvSpPr/>
      </xdr:nvSpPr>
      <xdr:spPr>
        <a:xfrm>
          <a:off x="583406" y="130968"/>
          <a:ext cx="695325" cy="695325"/>
        </a:xfrm>
        <a:prstGeom prst="ellipse">
          <a:avLst/>
        </a:prstGeom>
        <a:blipFill>
          <a:blip xmlns:r="http://schemas.openxmlformats.org/officeDocument/2006/relationships" r:embed="rId1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DONISETE CUSTÓDIO" refreshedDate="46039.535905439814" createdVersion="8" refreshedVersion="8" minRefreshableVersion="3" recordCount="295" xr:uid="{B5604F36-9140-4269-A677-C6B50DB236F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337451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s v="Yes"/>
    <n v="15"/>
    <x v="0"/>
    <x v="0"/>
    <n v="30"/>
    <x v="0"/>
    <n v="20"/>
    <n v="5"/>
    <n v="60"/>
  </r>
  <r>
    <x v="1"/>
    <s v="Maria Oliveira"/>
    <x v="1"/>
    <d v="2024-01-15T00:00:00"/>
    <s v="No"/>
    <n v="5"/>
    <x v="1"/>
    <x v="1"/>
    <s v="-"/>
    <x v="1"/>
    <n v="0"/>
    <n v="0"/>
    <n v="5"/>
  </r>
  <r>
    <x v="2"/>
    <s v="Lucas Fernandes"/>
    <x v="2"/>
    <d v="2024-02-10T00:00:00"/>
    <s v="Yes"/>
    <n v="10"/>
    <x v="2"/>
    <x v="1"/>
    <s v="-"/>
    <x v="0"/>
    <n v="20"/>
    <n v="10"/>
    <n v="20"/>
  </r>
  <r>
    <x v="3"/>
    <s v="Ana Souza"/>
    <x v="0"/>
    <d v="2024-02-20T00:00:00"/>
    <s v="No"/>
    <n v="15"/>
    <x v="0"/>
    <x v="0"/>
    <n v="30"/>
    <x v="0"/>
    <n v="20"/>
    <n v="3"/>
    <n v="62"/>
  </r>
  <r>
    <x v="4"/>
    <s v="Pedro Gonçalves"/>
    <x v="1"/>
    <d v="2024-03-05T00:00:00"/>
    <s v="Yes"/>
    <n v="5"/>
    <x v="0"/>
    <x v="1"/>
    <s v="-"/>
    <x v="1"/>
    <n v="0"/>
    <n v="1"/>
    <n v="4"/>
  </r>
  <r>
    <x v="5"/>
    <s v="Felipe Costa"/>
    <x v="2"/>
    <d v="2024-03-02T00:00:00"/>
    <s v="No"/>
    <n v="10"/>
    <x v="0"/>
    <x v="1"/>
    <s v="-"/>
    <x v="0"/>
    <n v="20"/>
    <n v="2"/>
    <n v="28"/>
  </r>
  <r>
    <x v="6"/>
    <s v="Camila Ribeiro"/>
    <x v="0"/>
    <d v="2024-03-03T00:00:00"/>
    <s v="Yes"/>
    <n v="15"/>
    <x v="2"/>
    <x v="0"/>
    <n v="30"/>
    <x v="0"/>
    <n v="20"/>
    <n v="10"/>
    <n v="55"/>
  </r>
  <r>
    <x v="7"/>
    <s v="André Mendes"/>
    <x v="1"/>
    <d v="2024-03-04T00:00:00"/>
    <s v="Yes"/>
    <n v="5"/>
    <x v="1"/>
    <x v="1"/>
    <s v="-"/>
    <x v="1"/>
    <n v="0"/>
    <n v="0"/>
    <n v="5"/>
  </r>
  <r>
    <x v="8"/>
    <s v="Sofia Almeida"/>
    <x v="0"/>
    <d v="2024-03-05T00:00:00"/>
    <s v="No"/>
    <n v="15"/>
    <x v="0"/>
    <x v="0"/>
    <n v="30"/>
    <x v="0"/>
    <n v="20"/>
    <n v="5"/>
    <n v="60"/>
  </r>
  <r>
    <x v="9"/>
    <s v="Bruno Martins"/>
    <x v="2"/>
    <d v="2024-03-06T00:00:00"/>
    <s v="Yes"/>
    <n v="10"/>
    <x v="2"/>
    <x v="1"/>
    <s v="-"/>
    <x v="0"/>
    <n v="20"/>
    <n v="15"/>
    <n v="15"/>
  </r>
  <r>
    <x v="10"/>
    <s v="Rita Castro"/>
    <x v="1"/>
    <d v="2024-03-07T00:00:00"/>
    <s v="No"/>
    <n v="5"/>
    <x v="0"/>
    <x v="1"/>
    <s v="-"/>
    <x v="1"/>
    <n v="0"/>
    <n v="1"/>
    <n v="4"/>
  </r>
  <r>
    <x v="11"/>
    <s v="Marco Túlio"/>
    <x v="0"/>
    <d v="2024-03-08T00:00:00"/>
    <s v="Yes"/>
    <n v="15"/>
    <x v="1"/>
    <x v="0"/>
    <n v="30"/>
    <x v="0"/>
    <n v="20"/>
    <n v="20"/>
    <n v="45"/>
  </r>
  <r>
    <x v="12"/>
    <s v="Lívia Silveira"/>
    <x v="2"/>
    <d v="2024-03-09T00:00:00"/>
    <s v="No"/>
    <n v="10"/>
    <x v="0"/>
    <x v="1"/>
    <s v="-"/>
    <x v="0"/>
    <n v="20"/>
    <n v="10"/>
    <n v="20"/>
  </r>
  <r>
    <x v="13"/>
    <s v="Diogo Sousa"/>
    <x v="1"/>
    <d v="2024-03-10T00:00:00"/>
    <s v="Yes"/>
    <n v="5"/>
    <x v="2"/>
    <x v="1"/>
    <s v="-"/>
    <x v="1"/>
    <n v="0"/>
    <n v="0"/>
    <n v="5"/>
  </r>
  <r>
    <x v="14"/>
    <s v="Fernanda Lima"/>
    <x v="0"/>
    <d v="2024-03-11T00:00:00"/>
    <s v="No"/>
    <n v="15"/>
    <x v="0"/>
    <x v="0"/>
    <n v="30"/>
    <x v="0"/>
    <n v="20"/>
    <n v="8"/>
    <n v="57"/>
  </r>
  <r>
    <x v="15"/>
    <s v="Caio Pereira"/>
    <x v="2"/>
    <d v="2024-03-12T00:00:00"/>
    <s v="Yes"/>
    <n v="10"/>
    <x v="1"/>
    <x v="1"/>
    <s v="-"/>
    <x v="0"/>
    <n v="20"/>
    <n v="12"/>
    <n v="18"/>
  </r>
  <r>
    <x v="16"/>
    <s v="Beatriz Gomes"/>
    <x v="1"/>
    <d v="2024-03-13T00:00:00"/>
    <s v="No"/>
    <n v="5"/>
    <x v="0"/>
    <x v="1"/>
    <s v="-"/>
    <x v="1"/>
    <n v="0"/>
    <n v="2"/>
    <n v="3"/>
  </r>
  <r>
    <x v="17"/>
    <s v="Cesar Oliveira"/>
    <x v="0"/>
    <d v="2024-03-14T00:00:00"/>
    <s v="Yes"/>
    <n v="15"/>
    <x v="2"/>
    <x v="0"/>
    <n v="30"/>
    <x v="0"/>
    <n v="20"/>
    <n v="7"/>
    <n v="58"/>
  </r>
  <r>
    <x v="18"/>
    <s v="Débora Machado"/>
    <x v="2"/>
    <d v="2024-03-15T00:00:00"/>
    <s v="No"/>
    <n v="10"/>
    <x v="0"/>
    <x v="1"/>
    <s v="-"/>
    <x v="0"/>
    <n v="20"/>
    <n v="5"/>
    <n v="25"/>
  </r>
  <r>
    <x v="19"/>
    <s v="Eduardo Vargas"/>
    <x v="1"/>
    <d v="2024-03-16T00:00:00"/>
    <s v="Yes"/>
    <n v="5"/>
    <x v="1"/>
    <x v="1"/>
    <s v="-"/>
    <x v="1"/>
    <n v="0"/>
    <n v="0"/>
    <n v="5"/>
  </r>
  <r>
    <x v="20"/>
    <s v="Gabriela Santos"/>
    <x v="0"/>
    <d v="2024-03-17T00:00:00"/>
    <s v="No"/>
    <n v="15"/>
    <x v="0"/>
    <x v="0"/>
    <n v="30"/>
    <x v="0"/>
    <n v="20"/>
    <n v="3"/>
    <n v="62"/>
  </r>
  <r>
    <x v="21"/>
    <s v="Henrique Dias"/>
    <x v="2"/>
    <d v="2024-03-18T00:00:00"/>
    <s v="Yes"/>
    <n v="10"/>
    <x v="2"/>
    <x v="1"/>
    <s v="-"/>
    <x v="0"/>
    <n v="20"/>
    <n v="15"/>
    <n v="15"/>
  </r>
  <r>
    <x v="22"/>
    <s v="Isabela Moreira"/>
    <x v="1"/>
    <d v="2024-03-19T00:00:00"/>
    <s v="No"/>
    <n v="5"/>
    <x v="0"/>
    <x v="1"/>
    <s v="-"/>
    <x v="1"/>
    <n v="0"/>
    <n v="1"/>
    <n v="4"/>
  </r>
  <r>
    <x v="23"/>
    <s v="Joaquim Barbosa"/>
    <x v="0"/>
    <d v="2024-03-20T00:00:00"/>
    <s v="Yes"/>
    <n v="15"/>
    <x v="1"/>
    <x v="0"/>
    <n v="30"/>
    <x v="0"/>
    <n v="20"/>
    <n v="20"/>
    <n v="45"/>
  </r>
  <r>
    <x v="24"/>
    <s v="Lara Rocha"/>
    <x v="2"/>
    <d v="2024-03-21T00:00:00"/>
    <s v="No"/>
    <n v="10"/>
    <x v="0"/>
    <x v="1"/>
    <s v="-"/>
    <x v="0"/>
    <n v="20"/>
    <n v="10"/>
    <n v="20"/>
  </r>
  <r>
    <x v="25"/>
    <s v="Matheus Silva"/>
    <x v="1"/>
    <d v="2024-03-22T00:00:00"/>
    <s v="Yes"/>
    <n v="5"/>
    <x v="2"/>
    <x v="1"/>
    <s v="-"/>
    <x v="1"/>
    <n v="0"/>
    <n v="0"/>
    <n v="5"/>
  </r>
  <r>
    <x v="26"/>
    <s v="Nicole Costa"/>
    <x v="0"/>
    <d v="2024-03-23T00:00:00"/>
    <s v="No"/>
    <n v="15"/>
    <x v="0"/>
    <x v="0"/>
    <n v="30"/>
    <x v="0"/>
    <n v="20"/>
    <n v="5"/>
    <n v="60"/>
  </r>
  <r>
    <x v="27"/>
    <s v="Otávio Mendonça"/>
    <x v="2"/>
    <d v="2024-03-24T00:00:00"/>
    <s v="Yes"/>
    <n v="10"/>
    <x v="1"/>
    <x v="1"/>
    <s v="-"/>
    <x v="0"/>
    <n v="20"/>
    <n v="15"/>
    <n v="15"/>
  </r>
  <r>
    <x v="28"/>
    <s v="Paula Ferreira"/>
    <x v="1"/>
    <d v="2024-03-25T00:00:00"/>
    <s v="No"/>
    <n v="5"/>
    <x v="0"/>
    <x v="1"/>
    <s v="-"/>
    <x v="1"/>
    <n v="0"/>
    <n v="1"/>
    <n v="4"/>
  </r>
  <r>
    <x v="29"/>
    <s v="Raquel Alves"/>
    <x v="0"/>
    <d v="2024-03-26T00:00:00"/>
    <s v="Yes"/>
    <n v="15"/>
    <x v="2"/>
    <x v="0"/>
    <n v="30"/>
    <x v="0"/>
    <n v="20"/>
    <n v="7"/>
    <n v="58"/>
  </r>
  <r>
    <x v="30"/>
    <s v="Samuel Pires"/>
    <x v="2"/>
    <d v="2024-03-27T00:00:00"/>
    <s v="No"/>
    <n v="10"/>
    <x v="0"/>
    <x v="1"/>
    <s v="-"/>
    <x v="0"/>
    <n v="20"/>
    <n v="10"/>
    <n v="20"/>
  </r>
  <r>
    <x v="31"/>
    <s v="Tânia Barros"/>
    <x v="1"/>
    <d v="2024-03-28T00:00:00"/>
    <s v="Yes"/>
    <n v="5"/>
    <x v="1"/>
    <x v="1"/>
    <s v="-"/>
    <x v="1"/>
    <n v="0"/>
    <n v="0"/>
    <n v="5"/>
  </r>
  <r>
    <x v="32"/>
    <s v="Vinicius Lima"/>
    <x v="0"/>
    <d v="2024-03-29T00:00:00"/>
    <s v="No"/>
    <n v="15"/>
    <x v="0"/>
    <x v="0"/>
    <n v="30"/>
    <x v="0"/>
    <n v="20"/>
    <n v="3"/>
    <n v="62"/>
  </r>
  <r>
    <x v="33"/>
    <s v="Yasmin Teixeira"/>
    <x v="2"/>
    <d v="2024-03-30T00:00:00"/>
    <s v="Yes"/>
    <n v="10"/>
    <x v="2"/>
    <x v="1"/>
    <s v="-"/>
    <x v="0"/>
    <n v="20"/>
    <n v="15"/>
    <n v="15"/>
  </r>
  <r>
    <x v="34"/>
    <s v="Zé Carlos"/>
    <x v="1"/>
    <d v="2024-03-31T00:00:00"/>
    <s v="No"/>
    <n v="5"/>
    <x v="0"/>
    <x v="1"/>
    <s v="-"/>
    <x v="1"/>
    <n v="0"/>
    <n v="1"/>
    <n v="4"/>
  </r>
  <r>
    <x v="35"/>
    <s v="Amanda Nogueira"/>
    <x v="1"/>
    <d v="2024-04-01T00:00:00"/>
    <s v="Yes"/>
    <n v="5"/>
    <x v="0"/>
    <x v="1"/>
    <s v="-"/>
    <x v="1"/>
    <n v="0"/>
    <n v="0"/>
    <n v="5"/>
  </r>
  <r>
    <x v="36"/>
    <s v="Bruno Cavalheiro"/>
    <x v="0"/>
    <d v="2024-04-02T00:00:00"/>
    <s v="No"/>
    <n v="15"/>
    <x v="2"/>
    <x v="0"/>
    <n v="30"/>
    <x v="0"/>
    <n v="20"/>
    <n v="7"/>
    <n v="58"/>
  </r>
  <r>
    <x v="37"/>
    <s v="Carla Dias"/>
    <x v="2"/>
    <d v="2024-04-03T00:00:00"/>
    <s v="Yes"/>
    <n v="10"/>
    <x v="1"/>
    <x v="1"/>
    <s v="-"/>
    <x v="0"/>
    <n v="20"/>
    <n v="10"/>
    <n v="20"/>
  </r>
  <r>
    <x v="38"/>
    <s v="Diego Fontes"/>
    <x v="1"/>
    <d v="2024-04-04T00:00:00"/>
    <s v="No"/>
    <n v="5"/>
    <x v="2"/>
    <x v="1"/>
    <s v="-"/>
    <x v="1"/>
    <n v="0"/>
    <n v="1"/>
    <n v="4"/>
  </r>
  <r>
    <x v="39"/>
    <s v="Eunice Lima"/>
    <x v="0"/>
    <d v="2024-04-05T00:00:00"/>
    <s v="Yes"/>
    <n v="15"/>
    <x v="0"/>
    <x v="0"/>
    <n v="30"/>
    <x v="0"/>
    <n v="20"/>
    <n v="15"/>
    <n v="50"/>
  </r>
  <r>
    <x v="40"/>
    <s v="Fábio Martins"/>
    <x v="2"/>
    <d v="2024-04-06T00:00:00"/>
    <s v="No"/>
    <n v="10"/>
    <x v="0"/>
    <x v="1"/>
    <s v="-"/>
    <x v="0"/>
    <n v="20"/>
    <n v="5"/>
    <n v="25"/>
  </r>
  <r>
    <x v="41"/>
    <s v="Gisele Araújo"/>
    <x v="1"/>
    <d v="2024-04-07T00:00:00"/>
    <s v="Yes"/>
    <n v="5"/>
    <x v="1"/>
    <x v="1"/>
    <s v="-"/>
    <x v="1"/>
    <n v="0"/>
    <n v="0"/>
    <n v="5"/>
  </r>
  <r>
    <x v="42"/>
    <s v="Hélio Castro"/>
    <x v="0"/>
    <d v="2024-04-08T00:00:00"/>
    <s v="No"/>
    <n v="15"/>
    <x v="2"/>
    <x v="0"/>
    <n v="30"/>
    <x v="0"/>
    <n v="20"/>
    <n v="20"/>
    <n v="45"/>
  </r>
  <r>
    <x v="43"/>
    <s v="Ingrid Menezes"/>
    <x v="2"/>
    <d v="2024-04-09T00:00:00"/>
    <s v="Yes"/>
    <n v="10"/>
    <x v="2"/>
    <x v="1"/>
    <s v="-"/>
    <x v="0"/>
    <n v="20"/>
    <n v="12"/>
    <n v="18"/>
  </r>
  <r>
    <x v="44"/>
    <s v="Jorge Baptista"/>
    <x v="1"/>
    <d v="2024-04-10T00:00:00"/>
    <s v="No"/>
    <n v="5"/>
    <x v="0"/>
    <x v="1"/>
    <s v="-"/>
    <x v="1"/>
    <n v="0"/>
    <n v="2"/>
    <n v="3"/>
  </r>
  <r>
    <x v="45"/>
    <s v="Kléber Oliveira"/>
    <x v="0"/>
    <d v="2024-04-11T00:00:00"/>
    <s v="Yes"/>
    <n v="15"/>
    <x v="1"/>
    <x v="0"/>
    <n v="30"/>
    <x v="0"/>
    <n v="20"/>
    <n v="5"/>
    <n v="60"/>
  </r>
  <r>
    <x v="46"/>
    <s v="Luciana Freitas"/>
    <x v="2"/>
    <d v="2024-04-12T00:00:00"/>
    <s v="No"/>
    <n v="10"/>
    <x v="0"/>
    <x v="1"/>
    <s v="-"/>
    <x v="0"/>
    <n v="20"/>
    <n v="10"/>
    <n v="20"/>
  </r>
  <r>
    <x v="47"/>
    <s v="Márcia Eller"/>
    <x v="1"/>
    <d v="2024-04-13T00:00:00"/>
    <s v="Yes"/>
    <n v="5"/>
    <x v="2"/>
    <x v="1"/>
    <s v="-"/>
    <x v="1"/>
    <n v="0"/>
    <n v="0"/>
    <n v="5"/>
  </r>
  <r>
    <x v="48"/>
    <s v="Nilo Peçanha"/>
    <x v="0"/>
    <d v="2024-04-14T00:00:00"/>
    <s v="No"/>
    <n v="15"/>
    <x v="0"/>
    <x v="0"/>
    <n v="30"/>
    <x v="0"/>
    <n v="20"/>
    <n v="3"/>
    <n v="62"/>
  </r>
  <r>
    <x v="49"/>
    <s v="Oscar Neves"/>
    <x v="2"/>
    <d v="2024-04-15T00:00:00"/>
    <s v="Yes"/>
    <n v="10"/>
    <x v="1"/>
    <x v="1"/>
    <s v="-"/>
    <x v="0"/>
    <n v="20"/>
    <n v="15"/>
    <n v="15"/>
  </r>
  <r>
    <x v="50"/>
    <s v="Patrícia Soares"/>
    <x v="1"/>
    <d v="2024-04-16T00:00:00"/>
    <s v="No"/>
    <n v="5"/>
    <x v="0"/>
    <x v="1"/>
    <s v="-"/>
    <x v="1"/>
    <n v="0"/>
    <n v="1"/>
    <n v="4"/>
  </r>
  <r>
    <x v="51"/>
    <s v="Quirino Gonçalves"/>
    <x v="0"/>
    <d v="2024-04-17T00:00:00"/>
    <s v="Yes"/>
    <n v="15"/>
    <x v="2"/>
    <x v="0"/>
    <n v="30"/>
    <x v="0"/>
    <n v="20"/>
    <n v="7"/>
    <n v="58"/>
  </r>
  <r>
    <x v="52"/>
    <s v="Raul Machado"/>
    <x v="2"/>
    <d v="2024-04-18T00:00:00"/>
    <s v="No"/>
    <n v="10"/>
    <x v="0"/>
    <x v="1"/>
    <s v="-"/>
    <x v="0"/>
    <n v="20"/>
    <n v="10"/>
    <n v="20"/>
  </r>
  <r>
    <x v="53"/>
    <s v="Sônia Lobo"/>
    <x v="1"/>
    <d v="2024-04-19T00:00:00"/>
    <s v="Yes"/>
    <n v="5"/>
    <x v="1"/>
    <x v="1"/>
    <s v="-"/>
    <x v="1"/>
    <n v="0"/>
    <n v="0"/>
    <n v="5"/>
  </r>
  <r>
    <x v="54"/>
    <s v="Tiago Ramos"/>
    <x v="0"/>
    <d v="2024-04-20T00:00:00"/>
    <s v="No"/>
    <n v="15"/>
    <x v="0"/>
    <x v="0"/>
    <n v="30"/>
    <x v="0"/>
    <n v="20"/>
    <n v="20"/>
    <n v="45"/>
  </r>
  <r>
    <x v="55"/>
    <s v="Ugo Pires"/>
    <x v="2"/>
    <d v="2024-04-21T00:00:00"/>
    <s v="Yes"/>
    <n v="10"/>
    <x v="2"/>
    <x v="1"/>
    <s v="-"/>
    <x v="0"/>
    <n v="20"/>
    <n v="15"/>
    <n v="15"/>
  </r>
  <r>
    <x v="56"/>
    <s v="Valéria Nobre"/>
    <x v="1"/>
    <d v="2024-04-22T00:00:00"/>
    <s v="No"/>
    <n v="5"/>
    <x v="0"/>
    <x v="1"/>
    <s v="-"/>
    <x v="1"/>
    <n v="0"/>
    <n v="1"/>
    <n v="4"/>
  </r>
  <r>
    <x v="57"/>
    <s v="William Siqueira"/>
    <x v="0"/>
    <d v="2024-04-23T00:00:00"/>
    <s v="Yes"/>
    <n v="15"/>
    <x v="1"/>
    <x v="0"/>
    <n v="30"/>
    <x v="0"/>
    <n v="20"/>
    <n v="3"/>
    <n v="62"/>
  </r>
  <r>
    <x v="58"/>
    <s v="Xuxa Meneghel"/>
    <x v="2"/>
    <d v="2024-04-24T00:00:00"/>
    <s v="No"/>
    <n v="10"/>
    <x v="0"/>
    <x v="1"/>
    <s v="-"/>
    <x v="0"/>
    <n v="20"/>
    <n v="10"/>
    <n v="20"/>
  </r>
  <r>
    <x v="59"/>
    <s v="Yara Figueiredo"/>
    <x v="1"/>
    <d v="2024-04-25T00:00:00"/>
    <s v="Yes"/>
    <n v="5"/>
    <x v="2"/>
    <x v="1"/>
    <s v="-"/>
    <x v="1"/>
    <n v="0"/>
    <n v="0"/>
    <n v="5"/>
  </r>
  <r>
    <x v="60"/>
    <s v="Zacarias Alves"/>
    <x v="0"/>
    <d v="2024-04-26T00:00:00"/>
    <s v="No"/>
    <n v="15"/>
    <x v="0"/>
    <x v="0"/>
    <n v="30"/>
    <x v="0"/>
    <n v="20"/>
    <n v="5"/>
    <n v="60"/>
  </r>
  <r>
    <x v="61"/>
    <s v="Amanda Bynes"/>
    <x v="2"/>
    <d v="2024-04-27T00:00:00"/>
    <s v="Yes"/>
    <n v="10"/>
    <x v="1"/>
    <x v="1"/>
    <s v="-"/>
    <x v="0"/>
    <n v="20"/>
    <n v="15"/>
    <n v="15"/>
  </r>
  <r>
    <x v="62"/>
    <s v="Bruno Mars"/>
    <x v="1"/>
    <d v="2024-04-28T00:00:00"/>
    <s v="No"/>
    <n v="5"/>
    <x v="0"/>
    <x v="1"/>
    <s v="-"/>
    <x v="1"/>
    <n v="0"/>
    <n v="1"/>
    <n v="4"/>
  </r>
  <r>
    <x v="63"/>
    <s v="Carla Bruni"/>
    <x v="0"/>
    <d v="2024-04-29T00:00:00"/>
    <s v="Yes"/>
    <n v="15"/>
    <x v="2"/>
    <x v="0"/>
    <n v="30"/>
    <x v="0"/>
    <n v="20"/>
    <n v="20"/>
    <n v="45"/>
  </r>
  <r>
    <x v="64"/>
    <s v="Diego Maradona"/>
    <x v="2"/>
    <d v="2024-04-30T00:00:00"/>
    <s v="No"/>
    <n v="10"/>
    <x v="0"/>
    <x v="1"/>
    <s v="-"/>
    <x v="0"/>
    <n v="20"/>
    <n v="5"/>
    <n v="25"/>
  </r>
  <r>
    <x v="65"/>
    <s v="Estela Marques"/>
    <x v="1"/>
    <d v="2024-05-01T00:00:00"/>
    <s v="No"/>
    <n v="5"/>
    <x v="0"/>
    <x v="1"/>
    <s v="-"/>
    <x v="1"/>
    <n v="0"/>
    <n v="0"/>
    <n v="5"/>
  </r>
  <r>
    <x v="66"/>
    <s v="Fábio Nobre"/>
    <x v="0"/>
    <d v="2024-05-02T00:00:00"/>
    <s v="Yes"/>
    <n v="15"/>
    <x v="2"/>
    <x v="0"/>
    <n v="30"/>
    <x v="0"/>
    <n v="20"/>
    <n v="7"/>
    <n v="58"/>
  </r>
  <r>
    <x v="67"/>
    <s v="Gabriel Oliveira"/>
    <x v="2"/>
    <d v="2024-05-03T00:00:00"/>
    <s v="No"/>
    <n v="10"/>
    <x v="1"/>
    <x v="1"/>
    <s v="-"/>
    <x v="0"/>
    <n v="20"/>
    <n v="10"/>
    <n v="20"/>
  </r>
  <r>
    <x v="68"/>
    <s v="Helena Santos"/>
    <x v="1"/>
    <d v="2024-05-04T00:00:00"/>
    <s v="Yes"/>
    <n v="5"/>
    <x v="2"/>
    <x v="1"/>
    <s v="-"/>
    <x v="1"/>
    <n v="0"/>
    <n v="1"/>
    <n v="4"/>
  </r>
  <r>
    <x v="69"/>
    <s v="Ivan Carvalho"/>
    <x v="0"/>
    <d v="2024-05-05T00:00:00"/>
    <s v="No"/>
    <n v="15"/>
    <x v="0"/>
    <x v="0"/>
    <n v="30"/>
    <x v="0"/>
    <n v="20"/>
    <n v="15"/>
    <n v="50"/>
  </r>
  <r>
    <x v="70"/>
    <s v="Júlia Ferreira"/>
    <x v="2"/>
    <d v="2024-05-06T00:00:00"/>
    <s v="Yes"/>
    <n v="10"/>
    <x v="0"/>
    <x v="1"/>
    <s v="-"/>
    <x v="0"/>
    <n v="20"/>
    <n v="5"/>
    <n v="25"/>
  </r>
  <r>
    <x v="71"/>
    <s v="Karla Alves"/>
    <x v="1"/>
    <d v="2024-05-07T00:00:00"/>
    <s v="No"/>
    <n v="5"/>
    <x v="1"/>
    <x v="1"/>
    <s v="-"/>
    <x v="1"/>
    <n v="0"/>
    <n v="0"/>
    <n v="5"/>
  </r>
  <r>
    <x v="72"/>
    <s v="Lucas Mendes"/>
    <x v="0"/>
    <d v="2024-05-08T00:00:00"/>
    <s v="Yes"/>
    <n v="15"/>
    <x v="2"/>
    <x v="0"/>
    <n v="30"/>
    <x v="0"/>
    <n v="20"/>
    <n v="20"/>
    <n v="45"/>
  </r>
  <r>
    <x v="73"/>
    <s v="Mônica Gomes"/>
    <x v="2"/>
    <d v="2024-05-09T00:00:00"/>
    <s v="No"/>
    <n v="10"/>
    <x v="2"/>
    <x v="1"/>
    <s v="-"/>
    <x v="0"/>
    <n v="20"/>
    <n v="12"/>
    <n v="18"/>
  </r>
  <r>
    <x v="74"/>
    <s v="Norberto Queiroz"/>
    <x v="1"/>
    <d v="2024-05-10T00:00:00"/>
    <s v="Yes"/>
    <n v="5"/>
    <x v="0"/>
    <x v="1"/>
    <s v="-"/>
    <x v="1"/>
    <n v="0"/>
    <n v="2"/>
    <n v="3"/>
  </r>
  <r>
    <x v="75"/>
    <s v="Otávio Barros"/>
    <x v="0"/>
    <d v="2024-05-11T00:00:00"/>
    <s v="No"/>
    <n v="15"/>
    <x v="1"/>
    <x v="0"/>
    <n v="30"/>
    <x v="0"/>
    <n v="20"/>
    <n v="5"/>
    <n v="60"/>
  </r>
  <r>
    <x v="76"/>
    <s v="Paula Vieira"/>
    <x v="2"/>
    <d v="2024-05-12T00:00:00"/>
    <s v="Yes"/>
    <n v="10"/>
    <x v="0"/>
    <x v="1"/>
    <s v="-"/>
    <x v="0"/>
    <n v="20"/>
    <n v="10"/>
    <n v="20"/>
  </r>
  <r>
    <x v="77"/>
    <s v="Quentin Ramos"/>
    <x v="1"/>
    <d v="2024-05-13T00:00:00"/>
    <s v="No"/>
    <n v="5"/>
    <x v="2"/>
    <x v="1"/>
    <s v="-"/>
    <x v="1"/>
    <n v="0"/>
    <n v="0"/>
    <n v="5"/>
  </r>
  <r>
    <x v="78"/>
    <s v="Raquel Novaes"/>
    <x v="0"/>
    <d v="2024-05-14T00:00:00"/>
    <s v="Yes"/>
    <n v="15"/>
    <x v="0"/>
    <x v="0"/>
    <n v="30"/>
    <x v="0"/>
    <n v="20"/>
    <n v="3"/>
    <n v="62"/>
  </r>
  <r>
    <x v="79"/>
    <s v="Samantha Lopes"/>
    <x v="2"/>
    <d v="2024-05-15T00:00:00"/>
    <s v="No"/>
    <n v="10"/>
    <x v="1"/>
    <x v="1"/>
    <s v="-"/>
    <x v="0"/>
    <n v="20"/>
    <n v="15"/>
    <n v="15"/>
  </r>
  <r>
    <x v="80"/>
    <s v="Tiago Martins"/>
    <x v="1"/>
    <d v="2024-05-16T00:00:00"/>
    <s v="Yes"/>
    <n v="5"/>
    <x v="0"/>
    <x v="1"/>
    <s v="-"/>
    <x v="1"/>
    <n v="0"/>
    <n v="1"/>
    <n v="4"/>
  </r>
  <r>
    <x v="81"/>
    <s v="Ulysses Guimarães"/>
    <x v="0"/>
    <d v="2024-05-17T00:00:00"/>
    <s v="No"/>
    <n v="15"/>
    <x v="2"/>
    <x v="0"/>
    <n v="30"/>
    <x v="0"/>
    <n v="20"/>
    <n v="7"/>
    <n v="58"/>
  </r>
  <r>
    <x v="82"/>
    <s v="Vanessa Silva"/>
    <x v="2"/>
    <d v="2024-05-18T00:00:00"/>
    <s v="Yes"/>
    <n v="10"/>
    <x v="0"/>
    <x v="1"/>
    <s v="-"/>
    <x v="0"/>
    <n v="20"/>
    <n v="10"/>
    <n v="20"/>
  </r>
  <r>
    <x v="83"/>
    <s v="William Carneiro"/>
    <x v="1"/>
    <d v="2024-05-19T00:00:00"/>
    <s v="No"/>
    <n v="5"/>
    <x v="1"/>
    <x v="1"/>
    <s v="-"/>
    <x v="1"/>
    <n v="0"/>
    <n v="0"/>
    <n v="5"/>
  </r>
  <r>
    <x v="84"/>
    <s v="Ximena Rocha"/>
    <x v="0"/>
    <d v="2024-05-20T00:00:00"/>
    <s v="Yes"/>
    <n v="15"/>
    <x v="0"/>
    <x v="0"/>
    <n v="30"/>
    <x v="0"/>
    <n v="20"/>
    <n v="20"/>
    <n v="45"/>
  </r>
  <r>
    <x v="85"/>
    <s v="Yasmin Figueiredo"/>
    <x v="2"/>
    <d v="2024-05-21T00:00:00"/>
    <s v="No"/>
    <n v="10"/>
    <x v="2"/>
    <x v="1"/>
    <s v="-"/>
    <x v="0"/>
    <n v="20"/>
    <n v="15"/>
    <n v="15"/>
  </r>
  <r>
    <x v="86"/>
    <s v="Zara Cunha"/>
    <x v="1"/>
    <d v="2024-05-22T00:00:00"/>
    <s v="Yes"/>
    <n v="5"/>
    <x v="0"/>
    <x v="1"/>
    <s v="-"/>
    <x v="1"/>
    <n v="0"/>
    <n v="1"/>
    <n v="4"/>
  </r>
  <r>
    <x v="87"/>
    <s v="Alan Teixeira"/>
    <x v="0"/>
    <d v="2024-05-23T00:00:00"/>
    <s v="No"/>
    <n v="15"/>
    <x v="1"/>
    <x v="0"/>
    <n v="30"/>
    <x v="0"/>
    <n v="20"/>
    <n v="3"/>
    <n v="62"/>
  </r>
  <r>
    <x v="88"/>
    <s v="Bárbara Oliveira"/>
    <x v="2"/>
    <d v="2024-05-24T00:00:00"/>
    <s v="Yes"/>
    <n v="10"/>
    <x v="0"/>
    <x v="1"/>
    <s v="-"/>
    <x v="0"/>
    <n v="20"/>
    <n v="10"/>
    <n v="20"/>
  </r>
  <r>
    <x v="89"/>
    <s v="Carlos Junqueira"/>
    <x v="1"/>
    <d v="2024-05-25T00:00:00"/>
    <s v="No"/>
    <n v="5"/>
    <x v="2"/>
    <x v="1"/>
    <s v="-"/>
    <x v="1"/>
    <n v="0"/>
    <n v="0"/>
    <n v="5"/>
  </r>
  <r>
    <x v="90"/>
    <s v="Daniela Moura"/>
    <x v="0"/>
    <d v="2024-05-26T00:00:00"/>
    <s v="Yes"/>
    <n v="15"/>
    <x v="0"/>
    <x v="0"/>
    <n v="30"/>
    <x v="0"/>
    <n v="20"/>
    <n v="5"/>
    <n v="60"/>
  </r>
  <r>
    <x v="91"/>
    <s v="Eduardo Lima"/>
    <x v="2"/>
    <d v="2024-05-27T00:00:00"/>
    <s v="No"/>
    <n v="10"/>
    <x v="1"/>
    <x v="1"/>
    <s v="-"/>
    <x v="0"/>
    <n v="20"/>
    <n v="15"/>
    <n v="15"/>
  </r>
  <r>
    <x v="92"/>
    <s v="Fabiana Araújo"/>
    <x v="1"/>
    <d v="2024-05-28T00:00:00"/>
    <s v="Yes"/>
    <n v="5"/>
    <x v="0"/>
    <x v="1"/>
    <s v="-"/>
    <x v="1"/>
    <n v="0"/>
    <n v="1"/>
    <n v="4"/>
  </r>
  <r>
    <x v="93"/>
    <s v="Geraldo Ribeiro"/>
    <x v="0"/>
    <d v="2024-05-29T00:00:00"/>
    <s v="No"/>
    <n v="15"/>
    <x v="2"/>
    <x v="0"/>
    <n v="30"/>
    <x v="0"/>
    <n v="20"/>
    <n v="20"/>
    <n v="45"/>
  </r>
  <r>
    <x v="94"/>
    <s v="Héctor Vargas"/>
    <x v="2"/>
    <d v="2024-05-30T00:00:00"/>
    <s v="Yes"/>
    <n v="10"/>
    <x v="2"/>
    <x v="1"/>
    <s v="-"/>
    <x v="0"/>
    <n v="20"/>
    <n v="15"/>
    <n v="15"/>
  </r>
  <r>
    <x v="95"/>
    <s v="Isabela Fonseca"/>
    <x v="1"/>
    <d v="2024-05-31T00:00:00"/>
    <s v="No"/>
    <n v="5"/>
    <x v="1"/>
    <x v="1"/>
    <s v="-"/>
    <x v="1"/>
    <n v="0"/>
    <n v="0"/>
    <n v="5"/>
  </r>
  <r>
    <x v="96"/>
    <s v="João Pedro Almeida"/>
    <x v="0"/>
    <d v="2024-06-01T00:00:00"/>
    <s v="Yes"/>
    <n v="15"/>
    <x v="0"/>
    <x v="0"/>
    <n v="30"/>
    <x v="0"/>
    <n v="20"/>
    <n v="7"/>
    <n v="58"/>
  </r>
  <r>
    <x v="97"/>
    <s v="Klara Costa"/>
    <x v="2"/>
    <d v="2024-06-02T00:00:00"/>
    <s v="No"/>
    <n v="10"/>
    <x v="1"/>
    <x v="1"/>
    <s v="-"/>
    <x v="0"/>
    <n v="20"/>
    <n v="10"/>
    <n v="20"/>
  </r>
  <r>
    <x v="98"/>
    <s v="Luciana Mendes"/>
    <x v="1"/>
    <d v="2024-06-03T00:00:00"/>
    <s v="Yes"/>
    <n v="5"/>
    <x v="2"/>
    <x v="1"/>
    <s v="-"/>
    <x v="1"/>
    <n v="0"/>
    <n v="1"/>
    <n v="4"/>
  </r>
  <r>
    <x v="99"/>
    <s v="Marcelo Gouveia"/>
    <x v="0"/>
    <d v="2024-06-04T00:00:00"/>
    <s v="No"/>
    <n v="15"/>
    <x v="0"/>
    <x v="0"/>
    <n v="30"/>
    <x v="0"/>
    <n v="20"/>
    <n v="15"/>
    <n v="50"/>
  </r>
  <r>
    <x v="100"/>
    <s v="Nívea Borges"/>
    <x v="2"/>
    <d v="2024-06-05T00:00:00"/>
    <s v="Yes"/>
    <n v="10"/>
    <x v="0"/>
    <x v="1"/>
    <s v="-"/>
    <x v="0"/>
    <n v="20"/>
    <n v="5"/>
    <n v="25"/>
  </r>
  <r>
    <x v="101"/>
    <s v="Oscar Nogueira"/>
    <x v="1"/>
    <d v="2024-06-06T00:00:00"/>
    <s v="No"/>
    <n v="5"/>
    <x v="1"/>
    <x v="1"/>
    <s v="-"/>
    <x v="1"/>
    <n v="0"/>
    <n v="0"/>
    <n v="5"/>
  </r>
  <r>
    <x v="102"/>
    <s v="Patrícia Alves"/>
    <x v="0"/>
    <d v="2024-06-07T00:00:00"/>
    <s v="Yes"/>
    <n v="15"/>
    <x v="2"/>
    <x v="0"/>
    <n v="30"/>
    <x v="0"/>
    <n v="20"/>
    <n v="20"/>
    <n v="45"/>
  </r>
  <r>
    <x v="103"/>
    <s v="Rafaela Silva"/>
    <x v="2"/>
    <d v="2024-06-08T00:00:00"/>
    <s v="No"/>
    <n v="10"/>
    <x v="2"/>
    <x v="1"/>
    <s v="-"/>
    <x v="0"/>
    <n v="20"/>
    <n v="12"/>
    <n v="18"/>
  </r>
  <r>
    <x v="104"/>
    <s v="Samantha Moraes"/>
    <x v="1"/>
    <d v="2024-06-09T00:00:00"/>
    <s v="Yes"/>
    <n v="5"/>
    <x v="0"/>
    <x v="1"/>
    <s v="-"/>
    <x v="1"/>
    <n v="0"/>
    <n v="2"/>
    <n v="3"/>
  </r>
  <r>
    <x v="105"/>
    <s v="Tatiana Rocha"/>
    <x v="1"/>
    <d v="2024-06-10T00:00:00"/>
    <s v="Yes"/>
    <n v="5"/>
    <x v="0"/>
    <x v="1"/>
    <s v="-"/>
    <x v="1"/>
    <n v="0"/>
    <n v="0"/>
    <n v="5"/>
  </r>
  <r>
    <x v="106"/>
    <s v="Ulisses Tavares"/>
    <x v="0"/>
    <d v="2024-06-11T00:00:00"/>
    <s v="No"/>
    <n v="15"/>
    <x v="2"/>
    <x v="0"/>
    <n v="30"/>
    <x v="0"/>
    <n v="20"/>
    <n v="7"/>
    <n v="58"/>
  </r>
  <r>
    <x v="107"/>
    <s v="Víctor Lemos"/>
    <x v="2"/>
    <d v="2024-06-12T00:00:00"/>
    <s v="Yes"/>
    <n v="10"/>
    <x v="1"/>
    <x v="1"/>
    <s v="-"/>
    <x v="0"/>
    <n v="20"/>
    <n v="10"/>
    <n v="20"/>
  </r>
  <r>
    <x v="108"/>
    <s v="Wilma Barros"/>
    <x v="1"/>
    <d v="2024-06-13T00:00:00"/>
    <s v="No"/>
    <n v="5"/>
    <x v="2"/>
    <x v="1"/>
    <s v="-"/>
    <x v="1"/>
    <n v="0"/>
    <n v="1"/>
    <n v="4"/>
  </r>
  <r>
    <x v="109"/>
    <s v="Xavier Nascimento"/>
    <x v="0"/>
    <d v="2024-06-14T00:00:00"/>
    <s v="Yes"/>
    <n v="15"/>
    <x v="0"/>
    <x v="0"/>
    <n v="30"/>
    <x v="0"/>
    <n v="20"/>
    <n v="15"/>
    <n v="50"/>
  </r>
  <r>
    <x v="110"/>
    <s v="Yago Pereira"/>
    <x v="2"/>
    <d v="2024-06-15T00:00:00"/>
    <s v="No"/>
    <n v="10"/>
    <x v="0"/>
    <x v="1"/>
    <s v="-"/>
    <x v="0"/>
    <n v="20"/>
    <n v="5"/>
    <n v="25"/>
  </r>
  <r>
    <x v="111"/>
    <s v="Zilda Ferreira"/>
    <x v="1"/>
    <d v="2024-06-16T00:00:00"/>
    <s v="Yes"/>
    <n v="5"/>
    <x v="1"/>
    <x v="1"/>
    <s v="-"/>
    <x v="1"/>
    <n v="0"/>
    <n v="0"/>
    <n v="5"/>
  </r>
  <r>
    <x v="112"/>
    <s v="Amanda Lopes"/>
    <x v="0"/>
    <d v="2024-06-17T00:00:00"/>
    <s v="No"/>
    <n v="15"/>
    <x v="2"/>
    <x v="0"/>
    <n v="30"/>
    <x v="0"/>
    <n v="20"/>
    <n v="20"/>
    <n v="45"/>
  </r>
  <r>
    <x v="113"/>
    <s v="Bruno Miranda"/>
    <x v="2"/>
    <d v="2024-06-18T00:00:00"/>
    <s v="Yes"/>
    <n v="10"/>
    <x v="2"/>
    <x v="1"/>
    <s v="-"/>
    <x v="0"/>
    <n v="20"/>
    <n v="12"/>
    <n v="18"/>
  </r>
  <r>
    <x v="114"/>
    <s v="Célia Torres"/>
    <x v="1"/>
    <d v="2024-06-19T00:00:00"/>
    <s v="No"/>
    <n v="5"/>
    <x v="0"/>
    <x v="1"/>
    <s v="-"/>
    <x v="1"/>
    <n v="0"/>
    <n v="2"/>
    <n v="3"/>
  </r>
  <r>
    <x v="115"/>
    <s v="Diogo Souza"/>
    <x v="0"/>
    <d v="2024-06-20T00:00:00"/>
    <s v="Yes"/>
    <n v="15"/>
    <x v="1"/>
    <x v="0"/>
    <n v="30"/>
    <x v="0"/>
    <n v="20"/>
    <n v="5"/>
    <n v="60"/>
  </r>
  <r>
    <x v="116"/>
    <s v="Elisa Castro"/>
    <x v="2"/>
    <d v="2024-06-21T00:00:00"/>
    <s v="No"/>
    <n v="10"/>
    <x v="0"/>
    <x v="1"/>
    <s v="-"/>
    <x v="0"/>
    <n v="20"/>
    <n v="10"/>
    <n v="20"/>
  </r>
  <r>
    <x v="117"/>
    <s v="Fátima Lima"/>
    <x v="1"/>
    <d v="2024-06-22T00:00:00"/>
    <s v="Yes"/>
    <n v="5"/>
    <x v="2"/>
    <x v="1"/>
    <s v="-"/>
    <x v="1"/>
    <n v="0"/>
    <n v="0"/>
    <n v="5"/>
  </r>
  <r>
    <x v="118"/>
    <s v="Geraldo Ribeiro"/>
    <x v="0"/>
    <d v="2024-06-23T00:00:00"/>
    <s v="No"/>
    <n v="15"/>
    <x v="0"/>
    <x v="0"/>
    <n v="30"/>
    <x v="0"/>
    <n v="20"/>
    <n v="3"/>
    <n v="62"/>
  </r>
  <r>
    <x v="119"/>
    <s v="Hélio Martins"/>
    <x v="2"/>
    <d v="2024-06-24T00:00:00"/>
    <s v="Yes"/>
    <n v="10"/>
    <x v="1"/>
    <x v="1"/>
    <s v="-"/>
    <x v="0"/>
    <n v="20"/>
    <n v="15"/>
    <n v="15"/>
  </r>
  <r>
    <x v="120"/>
    <s v="Íris Santos"/>
    <x v="1"/>
    <d v="2024-06-25T00:00:00"/>
    <s v="No"/>
    <n v="5"/>
    <x v="0"/>
    <x v="1"/>
    <s v="-"/>
    <x v="1"/>
    <n v="0"/>
    <n v="1"/>
    <n v="4"/>
  </r>
  <r>
    <x v="121"/>
    <s v="João Marcelo"/>
    <x v="0"/>
    <d v="2024-06-26T00:00:00"/>
    <s v="Yes"/>
    <n v="15"/>
    <x v="2"/>
    <x v="0"/>
    <n v="30"/>
    <x v="0"/>
    <n v="20"/>
    <n v="7"/>
    <n v="58"/>
  </r>
  <r>
    <x v="122"/>
    <s v="Larissa Gomes"/>
    <x v="2"/>
    <d v="2024-06-27T00:00:00"/>
    <s v="No"/>
    <n v="10"/>
    <x v="0"/>
    <x v="1"/>
    <s v="-"/>
    <x v="0"/>
    <n v="20"/>
    <n v="10"/>
    <n v="20"/>
  </r>
  <r>
    <x v="123"/>
    <s v="Márcio Silva"/>
    <x v="1"/>
    <d v="2024-06-28T00:00:00"/>
    <s v="Yes"/>
    <n v="5"/>
    <x v="1"/>
    <x v="1"/>
    <s v="-"/>
    <x v="1"/>
    <n v="0"/>
    <n v="0"/>
    <n v="5"/>
  </r>
  <r>
    <x v="124"/>
    <s v="Nadia Costa"/>
    <x v="0"/>
    <d v="2024-06-29T00:00:00"/>
    <s v="No"/>
    <n v="15"/>
    <x v="0"/>
    <x v="0"/>
    <n v="30"/>
    <x v="0"/>
    <n v="20"/>
    <n v="20"/>
    <n v="45"/>
  </r>
  <r>
    <x v="125"/>
    <s v="Oscar Almeida"/>
    <x v="2"/>
    <d v="2024-06-30T00:00:00"/>
    <s v="Yes"/>
    <n v="10"/>
    <x v="2"/>
    <x v="1"/>
    <s v="-"/>
    <x v="0"/>
    <n v="20"/>
    <n v="15"/>
    <n v="15"/>
  </r>
  <r>
    <x v="126"/>
    <s v="Patricia Soares"/>
    <x v="1"/>
    <d v="2024-07-01T00:00:00"/>
    <s v="No"/>
    <n v="5"/>
    <x v="0"/>
    <x v="1"/>
    <s v="-"/>
    <x v="1"/>
    <n v="0"/>
    <n v="1"/>
    <n v="4"/>
  </r>
  <r>
    <x v="127"/>
    <s v="Quênia Barros"/>
    <x v="0"/>
    <d v="2024-07-02T00:00:00"/>
    <s v="Yes"/>
    <n v="15"/>
    <x v="1"/>
    <x v="0"/>
    <n v="30"/>
    <x v="0"/>
    <n v="20"/>
    <n v="3"/>
    <n v="62"/>
  </r>
  <r>
    <x v="128"/>
    <s v="Rafael Torres"/>
    <x v="2"/>
    <d v="2024-07-03T00:00:00"/>
    <s v="No"/>
    <n v="10"/>
    <x v="0"/>
    <x v="1"/>
    <s v="-"/>
    <x v="0"/>
    <n v="20"/>
    <n v="10"/>
    <n v="20"/>
  </r>
  <r>
    <x v="129"/>
    <s v="Silvia Nascimento"/>
    <x v="1"/>
    <d v="2024-07-04T00:00:00"/>
    <s v="Yes"/>
    <n v="5"/>
    <x v="2"/>
    <x v="1"/>
    <s v="-"/>
    <x v="1"/>
    <n v="0"/>
    <n v="0"/>
    <n v="5"/>
  </r>
  <r>
    <x v="130"/>
    <s v="Tiago Mendes"/>
    <x v="0"/>
    <d v="2024-07-05T00:00:00"/>
    <s v="No"/>
    <n v="15"/>
    <x v="0"/>
    <x v="0"/>
    <n v="30"/>
    <x v="0"/>
    <n v="20"/>
    <n v="15"/>
    <n v="50"/>
  </r>
  <r>
    <x v="131"/>
    <s v="Ursula Silva"/>
    <x v="2"/>
    <d v="2024-07-06T00:00:00"/>
    <s v="Yes"/>
    <n v="10"/>
    <x v="1"/>
    <x v="1"/>
    <s v="-"/>
    <x v="0"/>
    <n v="20"/>
    <n v="15"/>
    <n v="15"/>
  </r>
  <r>
    <x v="132"/>
    <s v="Vanessa Moraes"/>
    <x v="1"/>
    <d v="2024-07-07T00:00:00"/>
    <s v="No"/>
    <n v="5"/>
    <x v="0"/>
    <x v="1"/>
    <s v="-"/>
    <x v="1"/>
    <n v="0"/>
    <n v="1"/>
    <n v="4"/>
  </r>
  <r>
    <x v="133"/>
    <s v="Waldir Junior"/>
    <x v="0"/>
    <d v="2024-07-08T00:00:00"/>
    <s v="Yes"/>
    <n v="15"/>
    <x v="2"/>
    <x v="0"/>
    <n v="30"/>
    <x v="0"/>
    <n v="20"/>
    <n v="7"/>
    <n v="58"/>
  </r>
  <r>
    <x v="134"/>
    <s v="Xavier Lopes"/>
    <x v="2"/>
    <d v="2024-07-09T00:00:00"/>
    <s v="No"/>
    <n v="10"/>
    <x v="0"/>
    <x v="1"/>
    <s v="-"/>
    <x v="0"/>
    <n v="20"/>
    <n v="10"/>
    <n v="20"/>
  </r>
  <r>
    <x v="135"/>
    <s v="Yolanda Freitas"/>
    <x v="1"/>
    <d v="2024-07-10T00:00:00"/>
    <s v="Yes"/>
    <n v="5"/>
    <x v="0"/>
    <x v="1"/>
    <s v="-"/>
    <x v="1"/>
    <n v="0"/>
    <n v="0"/>
    <n v="5"/>
  </r>
  <r>
    <x v="136"/>
    <s v="Zacarias Nunes"/>
    <x v="0"/>
    <d v="2024-07-11T00:00:00"/>
    <s v="No"/>
    <n v="15"/>
    <x v="2"/>
    <x v="0"/>
    <n v="30"/>
    <x v="0"/>
    <n v="20"/>
    <n v="7"/>
    <n v="58"/>
  </r>
  <r>
    <x v="137"/>
    <s v="Ana Clara Barreto"/>
    <x v="2"/>
    <d v="2024-07-12T00:00:00"/>
    <s v="Yes"/>
    <n v="10"/>
    <x v="1"/>
    <x v="1"/>
    <s v="-"/>
    <x v="0"/>
    <n v="20"/>
    <n v="10"/>
    <n v="20"/>
  </r>
  <r>
    <x v="138"/>
    <s v="Bruno Henrique"/>
    <x v="1"/>
    <d v="2024-07-13T00:00:00"/>
    <s v="No"/>
    <n v="5"/>
    <x v="2"/>
    <x v="1"/>
    <s v="-"/>
    <x v="1"/>
    <n v="0"/>
    <n v="1"/>
    <n v="4"/>
  </r>
  <r>
    <x v="139"/>
    <s v="Carlos Eduardo"/>
    <x v="0"/>
    <d v="2024-07-14T00:00:00"/>
    <s v="Yes"/>
    <n v="15"/>
    <x v="0"/>
    <x v="0"/>
    <n v="30"/>
    <x v="0"/>
    <n v="20"/>
    <n v="15"/>
    <n v="50"/>
  </r>
  <r>
    <x v="140"/>
    <s v="Débora Lima"/>
    <x v="2"/>
    <d v="2024-07-15T00:00:00"/>
    <s v="No"/>
    <n v="10"/>
    <x v="0"/>
    <x v="1"/>
    <s v="-"/>
    <x v="0"/>
    <n v="20"/>
    <n v="5"/>
    <n v="25"/>
  </r>
  <r>
    <x v="141"/>
    <s v="Elisa Neves"/>
    <x v="1"/>
    <d v="2024-07-16T00:00:00"/>
    <s v="Yes"/>
    <n v="5"/>
    <x v="1"/>
    <x v="1"/>
    <s v="-"/>
    <x v="1"/>
    <n v="0"/>
    <n v="0"/>
    <n v="5"/>
  </r>
  <r>
    <x v="142"/>
    <s v="Fabiano Gomes"/>
    <x v="0"/>
    <d v="2024-07-17T00:00:00"/>
    <s v="No"/>
    <n v="15"/>
    <x v="2"/>
    <x v="0"/>
    <n v="30"/>
    <x v="0"/>
    <n v="20"/>
    <n v="20"/>
    <n v="45"/>
  </r>
  <r>
    <x v="143"/>
    <s v="Gisele Oliveira"/>
    <x v="2"/>
    <d v="2024-07-18T00:00:00"/>
    <s v="Yes"/>
    <n v="10"/>
    <x v="2"/>
    <x v="1"/>
    <s v="-"/>
    <x v="0"/>
    <n v="20"/>
    <n v="12"/>
    <n v="18"/>
  </r>
  <r>
    <x v="144"/>
    <s v="Héctor Silva"/>
    <x v="1"/>
    <d v="2024-07-19T00:00:00"/>
    <s v="No"/>
    <n v="5"/>
    <x v="0"/>
    <x v="1"/>
    <s v="-"/>
    <x v="1"/>
    <n v="0"/>
    <n v="2"/>
    <n v="3"/>
  </r>
  <r>
    <x v="145"/>
    <s v="Igor Martins"/>
    <x v="0"/>
    <d v="2024-07-20T00:00:00"/>
    <s v="Yes"/>
    <n v="15"/>
    <x v="1"/>
    <x v="0"/>
    <n v="30"/>
    <x v="0"/>
    <n v="20"/>
    <n v="5"/>
    <n v="60"/>
  </r>
  <r>
    <x v="146"/>
    <s v="Joana Figueiredo"/>
    <x v="2"/>
    <d v="2024-07-21T00:00:00"/>
    <s v="No"/>
    <n v="10"/>
    <x v="0"/>
    <x v="1"/>
    <s v="-"/>
    <x v="0"/>
    <n v="20"/>
    <n v="10"/>
    <n v="20"/>
  </r>
  <r>
    <x v="147"/>
    <s v="Kleber Machado"/>
    <x v="1"/>
    <d v="2024-07-22T00:00:00"/>
    <s v="Yes"/>
    <n v="5"/>
    <x v="2"/>
    <x v="1"/>
    <s v="-"/>
    <x v="1"/>
    <n v="0"/>
    <n v="0"/>
    <n v="5"/>
  </r>
  <r>
    <x v="148"/>
    <s v="Luciana Santos"/>
    <x v="0"/>
    <d v="2024-07-23T00:00:00"/>
    <s v="No"/>
    <n v="15"/>
    <x v="0"/>
    <x v="0"/>
    <n v="30"/>
    <x v="0"/>
    <n v="20"/>
    <n v="3"/>
    <n v="62"/>
  </r>
  <r>
    <x v="149"/>
    <s v="Marcos Teixeira"/>
    <x v="2"/>
    <d v="2024-07-24T00:00:00"/>
    <s v="Yes"/>
    <n v="10"/>
    <x v="1"/>
    <x v="1"/>
    <s v="-"/>
    <x v="0"/>
    <n v="20"/>
    <n v="15"/>
    <n v="15"/>
  </r>
  <r>
    <x v="150"/>
    <s v="Natalia Costa"/>
    <x v="1"/>
    <d v="2024-07-25T00:00:00"/>
    <s v="No"/>
    <n v="5"/>
    <x v="0"/>
    <x v="1"/>
    <s v="-"/>
    <x v="1"/>
    <n v="0"/>
    <n v="1"/>
    <n v="4"/>
  </r>
  <r>
    <x v="151"/>
    <s v="Oscar Ribeiro"/>
    <x v="0"/>
    <d v="2024-07-26T00:00:00"/>
    <s v="Yes"/>
    <n v="15"/>
    <x v="2"/>
    <x v="0"/>
    <n v="30"/>
    <x v="0"/>
    <n v="20"/>
    <n v="7"/>
    <n v="58"/>
  </r>
  <r>
    <x v="152"/>
    <s v="Patricia Almeida"/>
    <x v="2"/>
    <d v="2024-07-27T00:00:00"/>
    <s v="No"/>
    <n v="10"/>
    <x v="0"/>
    <x v="1"/>
    <s v="-"/>
    <x v="0"/>
    <n v="20"/>
    <n v="10"/>
    <n v="20"/>
  </r>
  <r>
    <x v="153"/>
    <s v="Quirino Junior"/>
    <x v="1"/>
    <d v="2024-07-28T00:00:00"/>
    <s v="Yes"/>
    <n v="5"/>
    <x v="1"/>
    <x v="1"/>
    <s v="-"/>
    <x v="1"/>
    <n v="0"/>
    <n v="0"/>
    <n v="5"/>
  </r>
  <r>
    <x v="154"/>
    <s v="Renata Machado"/>
    <x v="0"/>
    <d v="2024-07-29T00:00:00"/>
    <s v="No"/>
    <n v="15"/>
    <x v="0"/>
    <x v="0"/>
    <n v="30"/>
    <x v="0"/>
    <n v="20"/>
    <n v="20"/>
    <n v="45"/>
  </r>
  <r>
    <x v="155"/>
    <s v="Sônia Alves"/>
    <x v="2"/>
    <d v="2024-07-30T00:00:00"/>
    <s v="Yes"/>
    <n v="10"/>
    <x v="2"/>
    <x v="1"/>
    <s v="-"/>
    <x v="0"/>
    <n v="20"/>
    <n v="15"/>
    <n v="15"/>
  </r>
  <r>
    <x v="156"/>
    <s v="Tiago Nunes"/>
    <x v="1"/>
    <d v="2024-07-31T00:00:00"/>
    <s v="No"/>
    <n v="5"/>
    <x v="0"/>
    <x v="1"/>
    <s v="-"/>
    <x v="1"/>
    <n v="0"/>
    <n v="1"/>
    <n v="4"/>
  </r>
  <r>
    <x v="157"/>
    <s v="Ulysses Pereira"/>
    <x v="0"/>
    <d v="2024-08-01T00:00:00"/>
    <s v="Yes"/>
    <n v="15"/>
    <x v="1"/>
    <x v="0"/>
    <n v="30"/>
    <x v="0"/>
    <n v="20"/>
    <n v="3"/>
    <n v="62"/>
  </r>
  <r>
    <x v="158"/>
    <s v="Vanessa Lima"/>
    <x v="2"/>
    <d v="2024-08-02T00:00:00"/>
    <s v="No"/>
    <n v="10"/>
    <x v="0"/>
    <x v="1"/>
    <s v="-"/>
    <x v="0"/>
    <n v="20"/>
    <n v="10"/>
    <n v="20"/>
  </r>
  <r>
    <x v="159"/>
    <s v="Wagner Santos"/>
    <x v="1"/>
    <d v="2024-08-03T00:00:00"/>
    <s v="Yes"/>
    <n v="5"/>
    <x v="2"/>
    <x v="1"/>
    <s v="-"/>
    <x v="1"/>
    <n v="0"/>
    <n v="0"/>
    <n v="5"/>
  </r>
  <r>
    <x v="160"/>
    <s v="Xuxa Meneghel"/>
    <x v="0"/>
    <d v="2024-08-04T00:00:00"/>
    <s v="No"/>
    <n v="15"/>
    <x v="0"/>
    <x v="0"/>
    <n v="30"/>
    <x v="0"/>
    <n v="20"/>
    <n v="15"/>
    <n v="50"/>
  </r>
  <r>
    <x v="161"/>
    <s v="Yasmin Silva"/>
    <x v="2"/>
    <d v="2024-08-05T00:00:00"/>
    <s v="Yes"/>
    <n v="10"/>
    <x v="1"/>
    <x v="1"/>
    <s v="-"/>
    <x v="0"/>
    <n v="20"/>
    <n v="15"/>
    <n v="15"/>
  </r>
  <r>
    <x v="162"/>
    <s v="Zacarias de Souza"/>
    <x v="1"/>
    <d v="2024-08-06T00:00:00"/>
    <s v="No"/>
    <n v="5"/>
    <x v="0"/>
    <x v="1"/>
    <s v="-"/>
    <x v="1"/>
    <n v="0"/>
    <n v="1"/>
    <n v="4"/>
  </r>
  <r>
    <x v="163"/>
    <s v="André Lima"/>
    <x v="0"/>
    <d v="2024-08-07T00:00:00"/>
    <s v="Yes"/>
    <n v="15"/>
    <x v="2"/>
    <x v="0"/>
    <n v="30"/>
    <x v="0"/>
    <n v="20"/>
    <n v="7"/>
    <n v="58"/>
  </r>
  <r>
    <x v="164"/>
    <s v="Bianca Freitas"/>
    <x v="2"/>
    <d v="2024-08-08T00:00:00"/>
    <s v="No"/>
    <n v="10"/>
    <x v="0"/>
    <x v="1"/>
    <s v="-"/>
    <x v="0"/>
    <n v="20"/>
    <n v="10"/>
    <n v="20"/>
  </r>
  <r>
    <x v="165"/>
    <s v="Caio Mendes"/>
    <x v="1"/>
    <d v="2024-08-09T00:00:00"/>
    <s v="Yes"/>
    <n v="5"/>
    <x v="1"/>
    <x v="1"/>
    <s v="-"/>
    <x v="1"/>
    <n v="0"/>
    <n v="0"/>
    <n v="5"/>
  </r>
  <r>
    <x v="166"/>
    <s v="Daniela Moura"/>
    <x v="0"/>
    <d v="2024-08-10T00:00:00"/>
    <s v="No"/>
    <n v="15"/>
    <x v="0"/>
    <x v="0"/>
    <n v="30"/>
    <x v="0"/>
    <n v="20"/>
    <n v="20"/>
    <n v="45"/>
  </r>
  <r>
    <x v="167"/>
    <s v="Eduardo Costa"/>
    <x v="2"/>
    <d v="2024-08-11T00:00:00"/>
    <s v="Yes"/>
    <n v="10"/>
    <x v="2"/>
    <x v="1"/>
    <s v="-"/>
    <x v="0"/>
    <n v="20"/>
    <n v="15"/>
    <n v="15"/>
  </r>
  <r>
    <x v="168"/>
    <s v="Fernanda Gomes"/>
    <x v="1"/>
    <d v="2024-08-12T00:00:00"/>
    <s v="No"/>
    <n v="5"/>
    <x v="0"/>
    <x v="1"/>
    <s v="-"/>
    <x v="1"/>
    <n v="0"/>
    <n v="1"/>
    <n v="4"/>
  </r>
  <r>
    <x v="169"/>
    <s v="Guilherme Souza"/>
    <x v="0"/>
    <d v="2024-08-13T00:00:00"/>
    <s v="Yes"/>
    <n v="15"/>
    <x v="1"/>
    <x v="0"/>
    <n v="30"/>
    <x v="0"/>
    <n v="20"/>
    <n v="5"/>
    <n v="60"/>
  </r>
  <r>
    <x v="170"/>
    <s v="Helena Ribeiro"/>
    <x v="2"/>
    <d v="2024-08-14T00:00:00"/>
    <s v="No"/>
    <n v="10"/>
    <x v="0"/>
    <x v="1"/>
    <s v="-"/>
    <x v="0"/>
    <n v="20"/>
    <n v="10"/>
    <n v="20"/>
  </r>
  <r>
    <x v="171"/>
    <s v="Igor Santos"/>
    <x v="1"/>
    <d v="2024-08-15T00:00:00"/>
    <s v="Yes"/>
    <n v="5"/>
    <x v="2"/>
    <x v="1"/>
    <s v="-"/>
    <x v="1"/>
    <n v="0"/>
    <n v="0"/>
    <n v="5"/>
  </r>
  <r>
    <x v="172"/>
    <s v="João Carvalho"/>
    <x v="0"/>
    <d v="2024-08-16T00:00:00"/>
    <s v="No"/>
    <n v="15"/>
    <x v="0"/>
    <x v="0"/>
    <n v="30"/>
    <x v="0"/>
    <n v="20"/>
    <n v="3"/>
    <n v="62"/>
  </r>
  <r>
    <x v="173"/>
    <s v="Klara Fagundes"/>
    <x v="2"/>
    <d v="2024-08-17T00:00:00"/>
    <s v="Yes"/>
    <n v="10"/>
    <x v="1"/>
    <x v="1"/>
    <s v="-"/>
    <x v="0"/>
    <n v="20"/>
    <n v="15"/>
    <n v="15"/>
  </r>
  <r>
    <x v="174"/>
    <s v="Lúcia Mendonça"/>
    <x v="1"/>
    <d v="2024-08-18T00:00:00"/>
    <s v="No"/>
    <n v="5"/>
    <x v="0"/>
    <x v="1"/>
    <s v="-"/>
    <x v="1"/>
    <n v="0"/>
    <n v="1"/>
    <n v="4"/>
  </r>
  <r>
    <x v="175"/>
    <s v="Marcelo Novaes"/>
    <x v="1"/>
    <d v="2024-08-19T00:00:00"/>
    <s v="Yes"/>
    <n v="5"/>
    <x v="0"/>
    <x v="1"/>
    <s v="-"/>
    <x v="1"/>
    <n v="0"/>
    <n v="0"/>
    <n v="5"/>
  </r>
  <r>
    <x v="176"/>
    <s v="Nina Pacheco"/>
    <x v="0"/>
    <d v="2024-08-20T00:00:00"/>
    <s v="No"/>
    <n v="15"/>
    <x v="2"/>
    <x v="0"/>
    <n v="30"/>
    <x v="0"/>
    <n v="20"/>
    <n v="7"/>
    <n v="58"/>
  </r>
  <r>
    <x v="177"/>
    <s v="Olívia Rios"/>
    <x v="2"/>
    <d v="2024-08-21T00:00:00"/>
    <s v="Yes"/>
    <n v="10"/>
    <x v="1"/>
    <x v="1"/>
    <s v="-"/>
    <x v="0"/>
    <n v="20"/>
    <n v="10"/>
    <n v="20"/>
  </r>
  <r>
    <x v="178"/>
    <s v="Paulo Quintana"/>
    <x v="1"/>
    <d v="2024-08-22T00:00:00"/>
    <s v="No"/>
    <n v="5"/>
    <x v="2"/>
    <x v="1"/>
    <s v="-"/>
    <x v="1"/>
    <n v="0"/>
    <n v="1"/>
    <n v="4"/>
  </r>
  <r>
    <x v="179"/>
    <s v="Raquel Domingos"/>
    <x v="0"/>
    <d v="2024-08-23T00:00:00"/>
    <s v="Yes"/>
    <n v="15"/>
    <x v="0"/>
    <x v="0"/>
    <n v="30"/>
    <x v="0"/>
    <n v="20"/>
    <n v="15"/>
    <n v="50"/>
  </r>
  <r>
    <x v="180"/>
    <s v="Samuel Viana"/>
    <x v="2"/>
    <d v="2024-08-24T00:00:00"/>
    <s v="No"/>
    <n v="10"/>
    <x v="0"/>
    <x v="1"/>
    <s v="-"/>
    <x v="0"/>
    <n v="20"/>
    <n v="5"/>
    <n v="25"/>
  </r>
  <r>
    <x v="181"/>
    <s v="Tatiane Rocha"/>
    <x v="1"/>
    <d v="2024-08-25T00:00:00"/>
    <s v="Yes"/>
    <n v="5"/>
    <x v="1"/>
    <x v="1"/>
    <s v="-"/>
    <x v="1"/>
    <n v="0"/>
    <n v="0"/>
    <n v="5"/>
  </r>
  <r>
    <x v="182"/>
    <s v="Ulysses Farias"/>
    <x v="0"/>
    <d v="2024-08-26T00:00:00"/>
    <s v="No"/>
    <n v="15"/>
    <x v="2"/>
    <x v="0"/>
    <n v="30"/>
    <x v="0"/>
    <n v="20"/>
    <n v="20"/>
    <n v="45"/>
  </r>
  <r>
    <x v="183"/>
    <s v="Vanessa Moreira"/>
    <x v="2"/>
    <d v="2024-08-27T00:00:00"/>
    <s v="Yes"/>
    <n v="10"/>
    <x v="2"/>
    <x v="1"/>
    <s v="-"/>
    <x v="0"/>
    <n v="20"/>
    <n v="12"/>
    <n v="18"/>
  </r>
  <r>
    <x v="184"/>
    <s v="William Carvalho"/>
    <x v="1"/>
    <d v="2024-08-28T00:00:00"/>
    <s v="No"/>
    <n v="5"/>
    <x v="0"/>
    <x v="1"/>
    <s v="-"/>
    <x v="1"/>
    <n v="0"/>
    <n v="2"/>
    <n v="3"/>
  </r>
  <r>
    <x v="185"/>
    <s v="Ximena Barros"/>
    <x v="0"/>
    <d v="2024-08-29T00:00:00"/>
    <s v="Yes"/>
    <n v="15"/>
    <x v="1"/>
    <x v="0"/>
    <n v="30"/>
    <x v="0"/>
    <n v="20"/>
    <n v="5"/>
    <n v="60"/>
  </r>
  <r>
    <x v="186"/>
    <s v="Yara Machado"/>
    <x v="2"/>
    <d v="2024-08-30T00:00:00"/>
    <s v="No"/>
    <n v="10"/>
    <x v="0"/>
    <x v="1"/>
    <s v="-"/>
    <x v="0"/>
    <n v="20"/>
    <n v="10"/>
    <n v="20"/>
  </r>
  <r>
    <x v="187"/>
    <s v="Zacarias Costa"/>
    <x v="1"/>
    <d v="2024-08-31T00:00:00"/>
    <s v="Yes"/>
    <n v="5"/>
    <x v="2"/>
    <x v="1"/>
    <s v="-"/>
    <x v="1"/>
    <n v="0"/>
    <n v="0"/>
    <n v="5"/>
  </r>
  <r>
    <x v="188"/>
    <s v="André Lopes"/>
    <x v="0"/>
    <d v="2024-09-01T00:00:00"/>
    <s v="No"/>
    <n v="15"/>
    <x v="0"/>
    <x v="0"/>
    <n v="30"/>
    <x v="0"/>
    <n v="20"/>
    <n v="3"/>
    <n v="62"/>
  </r>
  <r>
    <x v="189"/>
    <s v="Beatriz Souza"/>
    <x v="2"/>
    <d v="2024-09-02T00:00:00"/>
    <s v="Yes"/>
    <n v="10"/>
    <x v="1"/>
    <x v="1"/>
    <s v="-"/>
    <x v="0"/>
    <n v="20"/>
    <n v="15"/>
    <n v="15"/>
  </r>
  <r>
    <x v="190"/>
    <s v="Caio Pereira"/>
    <x v="1"/>
    <d v="2024-09-03T00:00:00"/>
    <s v="No"/>
    <n v="5"/>
    <x v="0"/>
    <x v="1"/>
    <s v="-"/>
    <x v="1"/>
    <n v="0"/>
    <n v="1"/>
    <n v="4"/>
  </r>
  <r>
    <x v="191"/>
    <s v="Daniela Araújo"/>
    <x v="0"/>
    <d v="2024-09-04T00:00:00"/>
    <s v="Yes"/>
    <n v="15"/>
    <x v="2"/>
    <x v="0"/>
    <n v="30"/>
    <x v="0"/>
    <n v="20"/>
    <n v="7"/>
    <n v="58"/>
  </r>
  <r>
    <x v="192"/>
    <s v="Eduardo Santos"/>
    <x v="2"/>
    <d v="2024-09-05T00:00:00"/>
    <s v="No"/>
    <n v="10"/>
    <x v="0"/>
    <x v="1"/>
    <s v="-"/>
    <x v="0"/>
    <n v="20"/>
    <n v="10"/>
    <n v="20"/>
  </r>
  <r>
    <x v="193"/>
    <s v="Fernanda Lima"/>
    <x v="1"/>
    <d v="2024-09-06T00:00:00"/>
    <s v="Yes"/>
    <n v="5"/>
    <x v="1"/>
    <x v="1"/>
    <s v="-"/>
    <x v="1"/>
    <n v="0"/>
    <n v="0"/>
    <n v="5"/>
  </r>
  <r>
    <x v="194"/>
    <s v="Gabriel Teixeira"/>
    <x v="0"/>
    <d v="2024-09-07T00:00:00"/>
    <s v="No"/>
    <n v="15"/>
    <x v="0"/>
    <x v="0"/>
    <n v="30"/>
    <x v="0"/>
    <n v="20"/>
    <n v="20"/>
    <n v="45"/>
  </r>
  <r>
    <x v="195"/>
    <s v="Helena Ribeiro"/>
    <x v="2"/>
    <d v="2024-09-08T00:00:00"/>
    <s v="Yes"/>
    <n v="10"/>
    <x v="2"/>
    <x v="1"/>
    <s v="-"/>
    <x v="0"/>
    <n v="20"/>
    <n v="15"/>
    <n v="15"/>
  </r>
  <r>
    <x v="196"/>
    <s v="Igor Mendes"/>
    <x v="1"/>
    <d v="2024-09-09T00:00:00"/>
    <s v="No"/>
    <n v="5"/>
    <x v="0"/>
    <x v="1"/>
    <s v="-"/>
    <x v="1"/>
    <n v="0"/>
    <n v="1"/>
    <n v="4"/>
  </r>
  <r>
    <x v="197"/>
    <s v="Joana Silveira"/>
    <x v="0"/>
    <d v="2024-09-10T00:00:00"/>
    <s v="Yes"/>
    <n v="15"/>
    <x v="1"/>
    <x v="0"/>
    <n v="30"/>
    <x v="0"/>
    <n v="20"/>
    <n v="3"/>
    <n v="62"/>
  </r>
  <r>
    <x v="198"/>
    <s v="Lucas Martins"/>
    <x v="2"/>
    <d v="2024-09-11T00:00:00"/>
    <s v="No"/>
    <n v="10"/>
    <x v="0"/>
    <x v="1"/>
    <s v="-"/>
    <x v="0"/>
    <n v="20"/>
    <n v="10"/>
    <n v="20"/>
  </r>
  <r>
    <x v="199"/>
    <s v="Marcela Gouveia"/>
    <x v="1"/>
    <d v="2024-09-12T00:00:00"/>
    <s v="Yes"/>
    <n v="5"/>
    <x v="2"/>
    <x v="1"/>
    <s v="-"/>
    <x v="1"/>
    <n v="0"/>
    <n v="0"/>
    <n v="5"/>
  </r>
  <r>
    <x v="200"/>
    <s v="Nicolas Borges"/>
    <x v="0"/>
    <d v="2024-09-13T00:00:00"/>
    <s v="No"/>
    <n v="15"/>
    <x v="0"/>
    <x v="0"/>
    <n v="30"/>
    <x v="0"/>
    <n v="20"/>
    <n v="15"/>
    <n v="50"/>
  </r>
  <r>
    <x v="201"/>
    <s v="Olivia Freitas"/>
    <x v="2"/>
    <d v="2024-09-14T00:00:00"/>
    <s v="Yes"/>
    <n v="10"/>
    <x v="1"/>
    <x v="1"/>
    <s v="-"/>
    <x v="0"/>
    <n v="20"/>
    <n v="15"/>
    <n v="15"/>
  </r>
  <r>
    <x v="202"/>
    <s v="Paulo Nogueira"/>
    <x v="1"/>
    <d v="2024-09-15T00:00:00"/>
    <s v="No"/>
    <n v="5"/>
    <x v="0"/>
    <x v="1"/>
    <s v="-"/>
    <x v="1"/>
    <n v="0"/>
    <n v="1"/>
    <n v="4"/>
  </r>
  <r>
    <x v="203"/>
    <s v="Raquel Andrade"/>
    <x v="0"/>
    <d v="2024-09-16T00:00:00"/>
    <s v="Yes"/>
    <n v="15"/>
    <x v="2"/>
    <x v="0"/>
    <n v="30"/>
    <x v="0"/>
    <n v="20"/>
    <n v="7"/>
    <n v="58"/>
  </r>
  <r>
    <x v="204"/>
    <s v="Sônia Carvalho"/>
    <x v="2"/>
    <d v="2024-09-17T00:00:00"/>
    <s v="No"/>
    <n v="10"/>
    <x v="0"/>
    <x v="1"/>
    <s v="-"/>
    <x v="0"/>
    <n v="20"/>
    <n v="10"/>
    <n v="20"/>
  </r>
  <r>
    <x v="205"/>
    <s v="Tiago Rodrigues"/>
    <x v="1"/>
    <d v="2024-09-18T00:00:00"/>
    <s v="Yes"/>
    <n v="5"/>
    <x v="0"/>
    <x v="1"/>
    <s v="-"/>
    <x v="1"/>
    <n v="0"/>
    <n v="0"/>
    <n v="5"/>
  </r>
  <r>
    <x v="206"/>
    <s v="Ursula Monteiro"/>
    <x v="0"/>
    <d v="2024-09-19T00:00:00"/>
    <s v="No"/>
    <n v="15"/>
    <x v="2"/>
    <x v="0"/>
    <n v="30"/>
    <x v="0"/>
    <n v="20"/>
    <n v="7"/>
    <n v="58"/>
  </r>
  <r>
    <x v="207"/>
    <s v="Vanessa Pereira"/>
    <x v="2"/>
    <d v="2024-09-20T00:00:00"/>
    <s v="Yes"/>
    <n v="10"/>
    <x v="1"/>
    <x v="1"/>
    <s v="-"/>
    <x v="0"/>
    <n v="20"/>
    <n v="10"/>
    <n v="20"/>
  </r>
  <r>
    <x v="208"/>
    <s v="Walter Silva"/>
    <x v="1"/>
    <d v="2024-09-21T00:00:00"/>
    <s v="No"/>
    <n v="5"/>
    <x v="2"/>
    <x v="1"/>
    <s v="-"/>
    <x v="1"/>
    <n v="0"/>
    <n v="1"/>
    <n v="4"/>
  </r>
  <r>
    <x v="209"/>
    <s v="Xavier Almeida"/>
    <x v="0"/>
    <d v="2024-09-22T00:00:00"/>
    <s v="Yes"/>
    <n v="15"/>
    <x v="0"/>
    <x v="0"/>
    <n v="30"/>
    <x v="0"/>
    <n v="20"/>
    <n v="15"/>
    <n v="50"/>
  </r>
  <r>
    <x v="210"/>
    <s v="Yasmine Correia"/>
    <x v="2"/>
    <d v="2024-09-23T00:00:00"/>
    <s v="No"/>
    <n v="10"/>
    <x v="0"/>
    <x v="1"/>
    <s v="-"/>
    <x v="0"/>
    <n v="20"/>
    <n v="5"/>
    <n v="25"/>
  </r>
  <r>
    <x v="211"/>
    <s v="Zacarias Almeida"/>
    <x v="1"/>
    <d v="2024-09-24T00:00:00"/>
    <s v="Yes"/>
    <n v="5"/>
    <x v="1"/>
    <x v="1"/>
    <s v="-"/>
    <x v="1"/>
    <n v="0"/>
    <n v="0"/>
    <n v="5"/>
  </r>
  <r>
    <x v="212"/>
    <s v="Amanda Costa"/>
    <x v="0"/>
    <d v="2024-09-25T00:00:00"/>
    <s v="No"/>
    <n v="15"/>
    <x v="2"/>
    <x v="0"/>
    <n v="30"/>
    <x v="0"/>
    <n v="20"/>
    <n v="20"/>
    <n v="45"/>
  </r>
  <r>
    <x v="213"/>
    <s v="Bruno Ferreira"/>
    <x v="2"/>
    <d v="2024-09-26T00:00:00"/>
    <s v="Yes"/>
    <n v="10"/>
    <x v="2"/>
    <x v="1"/>
    <s v="-"/>
    <x v="0"/>
    <n v="20"/>
    <n v="12"/>
    <n v="18"/>
  </r>
  <r>
    <x v="214"/>
    <s v="Carla Dias"/>
    <x v="1"/>
    <d v="2024-09-27T00:00:00"/>
    <s v="No"/>
    <n v="5"/>
    <x v="0"/>
    <x v="1"/>
    <s v="-"/>
    <x v="1"/>
    <n v="0"/>
    <n v="2"/>
    <n v="3"/>
  </r>
  <r>
    <x v="215"/>
    <s v="Diogo Martins"/>
    <x v="0"/>
    <d v="2024-09-28T00:00:00"/>
    <s v="Yes"/>
    <n v="15"/>
    <x v="1"/>
    <x v="0"/>
    <n v="30"/>
    <x v="0"/>
    <n v="20"/>
    <n v="5"/>
    <n v="60"/>
  </r>
  <r>
    <x v="216"/>
    <s v="Elisa Campos"/>
    <x v="2"/>
    <d v="2024-09-29T00:00:00"/>
    <s v="No"/>
    <n v="10"/>
    <x v="0"/>
    <x v="1"/>
    <s v="-"/>
    <x v="0"/>
    <n v="20"/>
    <n v="10"/>
    <n v="20"/>
  </r>
  <r>
    <x v="217"/>
    <s v="Fabiana Lima"/>
    <x v="1"/>
    <d v="2024-09-30T00:00:00"/>
    <s v="Yes"/>
    <n v="5"/>
    <x v="2"/>
    <x v="1"/>
    <s v="-"/>
    <x v="1"/>
    <n v="0"/>
    <n v="0"/>
    <n v="5"/>
  </r>
  <r>
    <x v="218"/>
    <s v="Gabriel Santos"/>
    <x v="0"/>
    <d v="2024-10-01T00:00:00"/>
    <s v="No"/>
    <n v="15"/>
    <x v="0"/>
    <x v="0"/>
    <n v="30"/>
    <x v="0"/>
    <n v="20"/>
    <n v="3"/>
    <n v="62"/>
  </r>
  <r>
    <x v="219"/>
    <s v="Helena Ferreira"/>
    <x v="2"/>
    <d v="2024-10-02T00:00:00"/>
    <s v="Yes"/>
    <n v="10"/>
    <x v="1"/>
    <x v="1"/>
    <s v="-"/>
    <x v="0"/>
    <n v="20"/>
    <n v="15"/>
    <n v="15"/>
  </r>
  <r>
    <x v="220"/>
    <s v="Ígor Nunes"/>
    <x v="1"/>
    <d v="2024-10-03T00:00:00"/>
    <s v="No"/>
    <n v="5"/>
    <x v="0"/>
    <x v="1"/>
    <s v="-"/>
    <x v="1"/>
    <n v="0"/>
    <n v="1"/>
    <n v="4"/>
  </r>
  <r>
    <x v="221"/>
    <s v="Joana Silveira"/>
    <x v="0"/>
    <d v="2024-10-04T00:00:00"/>
    <s v="Yes"/>
    <n v="15"/>
    <x v="2"/>
    <x v="0"/>
    <n v="30"/>
    <x v="0"/>
    <n v="20"/>
    <n v="7"/>
    <n v="58"/>
  </r>
  <r>
    <x v="222"/>
    <s v="Kléber Oliveira"/>
    <x v="2"/>
    <d v="2024-10-05T00:00:00"/>
    <s v="No"/>
    <n v="10"/>
    <x v="0"/>
    <x v="1"/>
    <s v="-"/>
    <x v="0"/>
    <n v="20"/>
    <n v="10"/>
    <n v="20"/>
  </r>
  <r>
    <x v="223"/>
    <s v="Luciana Morais"/>
    <x v="1"/>
    <d v="2024-10-06T00:00:00"/>
    <s v="Yes"/>
    <n v="5"/>
    <x v="1"/>
    <x v="1"/>
    <s v="-"/>
    <x v="1"/>
    <n v="0"/>
    <n v="0"/>
    <n v="5"/>
  </r>
  <r>
    <x v="224"/>
    <s v="Marcos Vinícius"/>
    <x v="0"/>
    <d v="2024-10-07T00:00:00"/>
    <s v="No"/>
    <n v="15"/>
    <x v="0"/>
    <x v="0"/>
    <n v="30"/>
    <x v="0"/>
    <n v="20"/>
    <n v="20"/>
    <n v="45"/>
  </r>
  <r>
    <x v="225"/>
    <s v="Natália Barros"/>
    <x v="2"/>
    <d v="2024-10-08T00:00:00"/>
    <s v="Yes"/>
    <n v="10"/>
    <x v="2"/>
    <x v="1"/>
    <s v="-"/>
    <x v="0"/>
    <n v="20"/>
    <n v="15"/>
    <n v="15"/>
  </r>
  <r>
    <x v="226"/>
    <s v="Oscar Sampaio"/>
    <x v="1"/>
    <d v="2024-10-09T00:00:00"/>
    <s v="No"/>
    <n v="5"/>
    <x v="0"/>
    <x v="1"/>
    <s v="-"/>
    <x v="1"/>
    <n v="0"/>
    <n v="1"/>
    <n v="4"/>
  </r>
  <r>
    <x v="227"/>
    <s v="Patrícia Leite"/>
    <x v="0"/>
    <d v="2024-10-10T00:00:00"/>
    <s v="Yes"/>
    <n v="15"/>
    <x v="1"/>
    <x v="0"/>
    <n v="30"/>
    <x v="0"/>
    <n v="20"/>
    <n v="3"/>
    <n v="62"/>
  </r>
  <r>
    <x v="228"/>
    <s v="Quênia Rocha"/>
    <x v="2"/>
    <d v="2024-10-11T00:00:00"/>
    <s v="No"/>
    <n v="10"/>
    <x v="0"/>
    <x v="1"/>
    <s v="-"/>
    <x v="0"/>
    <n v="20"/>
    <n v="10"/>
    <n v="20"/>
  </r>
  <r>
    <x v="229"/>
    <s v="Rafael Torres"/>
    <x v="1"/>
    <d v="2024-10-12T00:00:00"/>
    <s v="Yes"/>
    <n v="5"/>
    <x v="2"/>
    <x v="1"/>
    <s v="-"/>
    <x v="1"/>
    <n v="0"/>
    <n v="0"/>
    <n v="5"/>
  </r>
  <r>
    <x v="230"/>
    <s v="Sandra Gouveia"/>
    <x v="0"/>
    <d v="2024-10-13T00:00:00"/>
    <s v="No"/>
    <n v="15"/>
    <x v="0"/>
    <x v="0"/>
    <n v="30"/>
    <x v="0"/>
    <n v="20"/>
    <n v="15"/>
    <n v="50"/>
  </r>
  <r>
    <x v="231"/>
    <s v="Tiago Lacerda"/>
    <x v="2"/>
    <d v="2024-10-14T00:00:00"/>
    <s v="Yes"/>
    <n v="10"/>
    <x v="1"/>
    <x v="1"/>
    <s v="-"/>
    <x v="0"/>
    <n v="20"/>
    <n v="15"/>
    <n v="15"/>
  </r>
  <r>
    <x v="232"/>
    <s v="Ursula Fonseca"/>
    <x v="1"/>
    <d v="2024-10-15T00:00:00"/>
    <s v="No"/>
    <n v="5"/>
    <x v="0"/>
    <x v="1"/>
    <s v="-"/>
    <x v="1"/>
    <n v="0"/>
    <n v="1"/>
    <n v="4"/>
  </r>
  <r>
    <x v="233"/>
    <s v="Vanessa Andrade"/>
    <x v="0"/>
    <d v="2024-10-16T00:00:00"/>
    <s v="Yes"/>
    <n v="15"/>
    <x v="2"/>
    <x v="0"/>
    <n v="30"/>
    <x v="0"/>
    <n v="20"/>
    <n v="7"/>
    <n v="58"/>
  </r>
  <r>
    <x v="234"/>
    <s v="William Castro"/>
    <x v="2"/>
    <d v="2024-10-17T00:00:00"/>
    <s v="No"/>
    <n v="10"/>
    <x v="0"/>
    <x v="1"/>
    <s v="-"/>
    <x v="0"/>
    <n v="20"/>
    <n v="10"/>
    <n v="20"/>
  </r>
  <r>
    <x v="235"/>
    <s v="Xavier Monteiro"/>
    <x v="1"/>
    <d v="2024-10-18T00:00:00"/>
    <s v="Yes"/>
    <n v="5"/>
    <x v="1"/>
    <x v="1"/>
    <s v="-"/>
    <x v="1"/>
    <n v="0"/>
    <n v="0"/>
    <n v="5"/>
  </r>
  <r>
    <x v="236"/>
    <s v="Yasmin Figueira"/>
    <x v="0"/>
    <d v="2024-10-19T00:00:00"/>
    <s v="No"/>
    <n v="15"/>
    <x v="0"/>
    <x v="0"/>
    <n v="30"/>
    <x v="0"/>
    <n v="20"/>
    <n v="15"/>
    <n v="50"/>
  </r>
  <r>
    <x v="237"/>
    <s v="Zacarias Mendonça"/>
    <x v="2"/>
    <d v="2024-10-20T00:00:00"/>
    <s v="Yes"/>
    <n v="10"/>
    <x v="2"/>
    <x v="1"/>
    <s v="-"/>
    <x v="0"/>
    <n v="20"/>
    <n v="12"/>
    <n v="18"/>
  </r>
  <r>
    <x v="238"/>
    <s v="Amanda Menezes"/>
    <x v="1"/>
    <d v="2024-10-21T00:00:00"/>
    <s v="No"/>
    <n v="5"/>
    <x v="0"/>
    <x v="1"/>
    <s v="-"/>
    <x v="1"/>
    <n v="0"/>
    <n v="2"/>
    <n v="3"/>
  </r>
  <r>
    <x v="239"/>
    <s v="Bruno Santos"/>
    <x v="0"/>
    <d v="2024-10-22T00:00:00"/>
    <s v="Yes"/>
    <n v="15"/>
    <x v="1"/>
    <x v="0"/>
    <n v="30"/>
    <x v="0"/>
    <n v="20"/>
    <n v="5"/>
    <n v="60"/>
  </r>
  <r>
    <x v="240"/>
    <s v="Carla Ferreira"/>
    <x v="2"/>
    <d v="2024-10-23T00:00:00"/>
    <s v="No"/>
    <n v="10"/>
    <x v="0"/>
    <x v="1"/>
    <s v="-"/>
    <x v="0"/>
    <n v="20"/>
    <n v="10"/>
    <n v="20"/>
  </r>
  <r>
    <x v="241"/>
    <s v="Diogo Alves"/>
    <x v="1"/>
    <d v="2024-10-24T00:00:00"/>
    <s v="Yes"/>
    <n v="5"/>
    <x v="2"/>
    <x v="1"/>
    <s v="-"/>
    <x v="1"/>
    <n v="0"/>
    <n v="0"/>
    <n v="5"/>
  </r>
  <r>
    <x v="242"/>
    <s v="Elisa Neves"/>
    <x v="0"/>
    <d v="2024-10-25T00:00:00"/>
    <s v="No"/>
    <n v="15"/>
    <x v="0"/>
    <x v="0"/>
    <n v="30"/>
    <x v="0"/>
    <n v="20"/>
    <n v="3"/>
    <n v="62"/>
  </r>
  <r>
    <x v="243"/>
    <s v="Fabiano Pires"/>
    <x v="2"/>
    <d v="2024-10-26T00:00:00"/>
    <s v="Yes"/>
    <n v="10"/>
    <x v="1"/>
    <x v="1"/>
    <s v="-"/>
    <x v="0"/>
    <n v="20"/>
    <n v="15"/>
    <n v="15"/>
  </r>
  <r>
    <x v="244"/>
    <s v="Giovana Ribeiro"/>
    <x v="1"/>
    <d v="2024-10-27T00:00:00"/>
    <s v="No"/>
    <n v="5"/>
    <x v="0"/>
    <x v="1"/>
    <s v="-"/>
    <x v="1"/>
    <n v="0"/>
    <n v="1"/>
    <n v="4"/>
  </r>
  <r>
    <x v="245"/>
    <s v="Hélio Costa"/>
    <x v="0"/>
    <d v="2024-10-28T00:00:00"/>
    <s v="Yes"/>
    <n v="15"/>
    <x v="2"/>
    <x v="0"/>
    <n v="30"/>
    <x v="0"/>
    <n v="20"/>
    <n v="7"/>
    <n v="58"/>
  </r>
  <r>
    <x v="246"/>
    <s v="Íris Loureiro"/>
    <x v="2"/>
    <d v="2024-10-29T00:00:00"/>
    <s v="No"/>
    <n v="10"/>
    <x v="0"/>
    <x v="1"/>
    <s v="-"/>
    <x v="0"/>
    <n v="20"/>
    <n v="10"/>
    <n v="20"/>
  </r>
  <r>
    <x v="247"/>
    <s v="João Pereira"/>
    <x v="1"/>
    <d v="2024-10-30T00:00:00"/>
    <s v="Yes"/>
    <n v="5"/>
    <x v="1"/>
    <x v="1"/>
    <s v="-"/>
    <x v="1"/>
    <n v="0"/>
    <n v="0"/>
    <n v="5"/>
  </r>
  <r>
    <x v="248"/>
    <s v="Klara Silva"/>
    <x v="0"/>
    <d v="2024-10-31T00:00:00"/>
    <s v="No"/>
    <n v="15"/>
    <x v="0"/>
    <x v="0"/>
    <n v="30"/>
    <x v="0"/>
    <n v="20"/>
    <n v="20"/>
    <n v="45"/>
  </r>
  <r>
    <x v="249"/>
    <s v="Luciana Barros"/>
    <x v="2"/>
    <d v="2024-11-01T00:00:00"/>
    <s v="Yes"/>
    <n v="10"/>
    <x v="2"/>
    <x v="1"/>
    <s v="-"/>
    <x v="0"/>
    <n v="20"/>
    <n v="15"/>
    <n v="15"/>
  </r>
  <r>
    <x v="250"/>
    <s v="Marcos Gomes"/>
    <x v="1"/>
    <d v="2024-11-02T00:00:00"/>
    <s v="No"/>
    <n v="5"/>
    <x v="0"/>
    <x v="1"/>
    <s v="-"/>
    <x v="1"/>
    <n v="0"/>
    <n v="1"/>
    <n v="4"/>
  </r>
  <r>
    <x v="251"/>
    <s v="Natália Soares"/>
    <x v="0"/>
    <d v="2024-11-03T00:00:00"/>
    <s v="Yes"/>
    <n v="15"/>
    <x v="1"/>
    <x v="0"/>
    <n v="30"/>
    <x v="0"/>
    <n v="20"/>
    <n v="3"/>
    <n v="62"/>
  </r>
  <r>
    <x v="252"/>
    <s v="Oscar Machado"/>
    <x v="2"/>
    <d v="2024-11-04T00:00:00"/>
    <s v="No"/>
    <n v="10"/>
    <x v="0"/>
    <x v="1"/>
    <s v="-"/>
    <x v="0"/>
    <n v="20"/>
    <n v="10"/>
    <n v="20"/>
  </r>
  <r>
    <x v="253"/>
    <s v="Patrícia Lima"/>
    <x v="1"/>
    <d v="2024-11-05T00:00:00"/>
    <s v="Yes"/>
    <n v="5"/>
    <x v="2"/>
    <x v="1"/>
    <s v="-"/>
    <x v="1"/>
    <n v="0"/>
    <n v="0"/>
    <n v="5"/>
  </r>
  <r>
    <x v="254"/>
    <s v="Quirino Neto"/>
    <x v="0"/>
    <d v="2024-11-06T00:00:00"/>
    <s v="No"/>
    <n v="15"/>
    <x v="0"/>
    <x v="0"/>
    <n v="30"/>
    <x v="0"/>
    <n v="20"/>
    <n v="15"/>
    <n v="50"/>
  </r>
  <r>
    <x v="255"/>
    <s v="Rafaela Souza"/>
    <x v="1"/>
    <d v="2024-11-07T00:00:00"/>
    <s v="Yes"/>
    <n v="5"/>
    <x v="0"/>
    <x v="1"/>
    <s v="-"/>
    <x v="1"/>
    <n v="0"/>
    <n v="0"/>
    <n v="5"/>
  </r>
  <r>
    <x v="256"/>
    <s v="Sandro Almeida"/>
    <x v="0"/>
    <d v="2024-11-08T00:00:00"/>
    <s v="No"/>
    <n v="15"/>
    <x v="2"/>
    <x v="0"/>
    <n v="30"/>
    <x v="0"/>
    <n v="20"/>
    <n v="7"/>
    <n v="58"/>
  </r>
  <r>
    <x v="257"/>
    <s v="Tânia Ribeiro"/>
    <x v="2"/>
    <d v="2024-11-09T00:00:00"/>
    <s v="Yes"/>
    <n v="10"/>
    <x v="1"/>
    <x v="1"/>
    <s v="-"/>
    <x v="0"/>
    <n v="20"/>
    <n v="10"/>
    <n v="20"/>
  </r>
  <r>
    <x v="258"/>
    <s v="Ugo Dias"/>
    <x v="1"/>
    <d v="2024-11-10T00:00:00"/>
    <s v="No"/>
    <n v="5"/>
    <x v="2"/>
    <x v="1"/>
    <s v="-"/>
    <x v="1"/>
    <n v="0"/>
    <n v="1"/>
    <n v="4"/>
  </r>
  <r>
    <x v="259"/>
    <s v="Valéria Lima"/>
    <x v="0"/>
    <d v="2024-11-11T00:00:00"/>
    <s v="Yes"/>
    <n v="15"/>
    <x v="0"/>
    <x v="0"/>
    <n v="30"/>
    <x v="0"/>
    <n v="20"/>
    <n v="15"/>
    <n v="50"/>
  </r>
  <r>
    <x v="260"/>
    <s v="William Fernandes"/>
    <x v="2"/>
    <d v="2024-11-12T00:00:00"/>
    <s v="No"/>
    <n v="10"/>
    <x v="0"/>
    <x v="1"/>
    <s v="-"/>
    <x v="0"/>
    <n v="20"/>
    <n v="5"/>
    <n v="25"/>
  </r>
  <r>
    <x v="261"/>
    <s v="Xuxa Mendes"/>
    <x v="1"/>
    <d v="2024-11-13T00:00:00"/>
    <s v="Yes"/>
    <n v="5"/>
    <x v="1"/>
    <x v="1"/>
    <s v="-"/>
    <x v="1"/>
    <n v="0"/>
    <n v="0"/>
    <n v="5"/>
  </r>
  <r>
    <x v="262"/>
    <s v="Ygor Farias"/>
    <x v="0"/>
    <d v="2024-11-14T00:00:00"/>
    <s v="No"/>
    <n v="15"/>
    <x v="2"/>
    <x v="0"/>
    <n v="30"/>
    <x v="0"/>
    <n v="20"/>
    <n v="20"/>
    <n v="45"/>
  </r>
  <r>
    <x v="263"/>
    <s v="Zilda Barros"/>
    <x v="2"/>
    <d v="2024-11-15T00:00:00"/>
    <s v="Yes"/>
    <n v="10"/>
    <x v="2"/>
    <x v="1"/>
    <s v="-"/>
    <x v="0"/>
    <n v="20"/>
    <n v="12"/>
    <n v="18"/>
  </r>
  <r>
    <x v="264"/>
    <s v="Amanda Santos"/>
    <x v="1"/>
    <d v="2024-11-16T00:00:00"/>
    <s v="No"/>
    <n v="5"/>
    <x v="0"/>
    <x v="1"/>
    <s v="-"/>
    <x v="1"/>
    <n v="0"/>
    <n v="2"/>
    <n v="3"/>
  </r>
  <r>
    <x v="265"/>
    <s v="Bruno Costa"/>
    <x v="0"/>
    <d v="2024-11-17T00:00:00"/>
    <s v="Yes"/>
    <n v="15"/>
    <x v="1"/>
    <x v="0"/>
    <n v="30"/>
    <x v="0"/>
    <n v="20"/>
    <n v="5"/>
    <n v="60"/>
  </r>
  <r>
    <x v="266"/>
    <s v="Carla Rodrigues"/>
    <x v="2"/>
    <d v="2024-11-18T00:00:00"/>
    <s v="No"/>
    <n v="10"/>
    <x v="0"/>
    <x v="1"/>
    <s v="-"/>
    <x v="0"/>
    <n v="20"/>
    <n v="10"/>
    <n v="20"/>
  </r>
  <r>
    <x v="267"/>
    <s v="Diogo Pereira"/>
    <x v="1"/>
    <d v="2024-11-19T00:00:00"/>
    <s v="Yes"/>
    <n v="5"/>
    <x v="2"/>
    <x v="1"/>
    <s v="-"/>
    <x v="1"/>
    <n v="0"/>
    <n v="0"/>
    <n v="5"/>
  </r>
  <r>
    <x v="268"/>
    <s v="Elisa Correia"/>
    <x v="0"/>
    <d v="2024-11-20T00:00:00"/>
    <s v="No"/>
    <n v="15"/>
    <x v="0"/>
    <x v="0"/>
    <n v="30"/>
    <x v="0"/>
    <n v="20"/>
    <n v="3"/>
    <n v="62"/>
  </r>
  <r>
    <x v="269"/>
    <s v="Fábio Lourenço"/>
    <x v="2"/>
    <d v="2024-11-21T00:00:00"/>
    <s v="Yes"/>
    <n v="10"/>
    <x v="1"/>
    <x v="1"/>
    <s v="-"/>
    <x v="0"/>
    <n v="20"/>
    <n v="15"/>
    <n v="15"/>
  </r>
  <r>
    <x v="270"/>
    <s v="Gabriela Neves"/>
    <x v="1"/>
    <d v="2024-11-22T00:00:00"/>
    <s v="No"/>
    <n v="5"/>
    <x v="0"/>
    <x v="1"/>
    <s v="-"/>
    <x v="1"/>
    <n v="0"/>
    <n v="1"/>
    <n v="4"/>
  </r>
  <r>
    <x v="271"/>
    <s v="Henrique Gonçalves"/>
    <x v="0"/>
    <d v="2024-11-23T00:00:00"/>
    <s v="Yes"/>
    <n v="15"/>
    <x v="2"/>
    <x v="0"/>
    <n v="30"/>
    <x v="0"/>
    <n v="20"/>
    <n v="7"/>
    <n v="58"/>
  </r>
  <r>
    <x v="272"/>
    <s v="Íris Santos"/>
    <x v="2"/>
    <d v="2024-11-24T00:00:00"/>
    <s v="No"/>
    <n v="10"/>
    <x v="0"/>
    <x v="1"/>
    <s v="-"/>
    <x v="0"/>
    <n v="20"/>
    <n v="10"/>
    <n v="20"/>
  </r>
  <r>
    <x v="273"/>
    <s v="João Marcelo Alves"/>
    <x v="1"/>
    <d v="2024-11-25T00:00:00"/>
    <s v="Yes"/>
    <n v="5"/>
    <x v="1"/>
    <x v="1"/>
    <s v="-"/>
    <x v="1"/>
    <n v="0"/>
    <n v="0"/>
    <n v="5"/>
  </r>
  <r>
    <x v="274"/>
    <s v="Klara Fonseca"/>
    <x v="0"/>
    <d v="2024-11-26T00:00:00"/>
    <s v="No"/>
    <n v="15"/>
    <x v="0"/>
    <x v="0"/>
    <n v="30"/>
    <x v="0"/>
    <n v="20"/>
    <n v="20"/>
    <n v="45"/>
  </r>
  <r>
    <x v="275"/>
    <s v="Lucas Mendonça"/>
    <x v="2"/>
    <d v="2024-11-27T00:00:00"/>
    <s v="Yes"/>
    <n v="10"/>
    <x v="2"/>
    <x v="1"/>
    <s v="-"/>
    <x v="0"/>
    <n v="20"/>
    <n v="15"/>
    <n v="15"/>
  </r>
  <r>
    <x v="276"/>
    <s v="Marcela Torres"/>
    <x v="1"/>
    <d v="2024-11-28T00:00:00"/>
    <s v="No"/>
    <n v="5"/>
    <x v="0"/>
    <x v="1"/>
    <s v="-"/>
    <x v="1"/>
    <n v="0"/>
    <n v="1"/>
    <n v="4"/>
  </r>
  <r>
    <x v="277"/>
    <s v="Natália Castro"/>
    <x v="0"/>
    <d v="2024-11-29T00:00:00"/>
    <s v="Yes"/>
    <n v="15"/>
    <x v="1"/>
    <x v="0"/>
    <n v="30"/>
    <x v="0"/>
    <n v="20"/>
    <n v="3"/>
    <n v="62"/>
  </r>
  <r>
    <x v="278"/>
    <s v="Oscar Martins"/>
    <x v="2"/>
    <d v="2024-11-30T00:00:00"/>
    <s v="No"/>
    <n v="10"/>
    <x v="0"/>
    <x v="1"/>
    <s v="-"/>
    <x v="0"/>
    <n v="20"/>
    <n v="10"/>
    <n v="20"/>
  </r>
  <r>
    <x v="279"/>
    <s v="Patrícia Oliveira"/>
    <x v="1"/>
    <d v="2024-12-01T00:00:00"/>
    <s v="Yes"/>
    <n v="5"/>
    <x v="2"/>
    <x v="1"/>
    <s v="-"/>
    <x v="1"/>
    <n v="0"/>
    <n v="0"/>
    <n v="5"/>
  </r>
  <r>
    <x v="280"/>
    <s v="Quentin Nogueira"/>
    <x v="0"/>
    <d v="2024-12-02T00:00:00"/>
    <s v="No"/>
    <n v="15"/>
    <x v="0"/>
    <x v="0"/>
    <n v="30"/>
    <x v="0"/>
    <n v="20"/>
    <n v="15"/>
    <n v="50"/>
  </r>
  <r>
    <x v="281"/>
    <s v="Raquel Silva"/>
    <x v="2"/>
    <d v="2024-12-03T00:00:00"/>
    <s v="Yes"/>
    <n v="10"/>
    <x v="1"/>
    <x v="1"/>
    <s v="-"/>
    <x v="0"/>
    <n v="20"/>
    <n v="15"/>
    <n v="15"/>
  </r>
  <r>
    <x v="282"/>
    <s v="Sandro Gomes"/>
    <x v="1"/>
    <d v="2024-12-04T00:00:00"/>
    <s v="No"/>
    <n v="5"/>
    <x v="0"/>
    <x v="1"/>
    <s v="-"/>
    <x v="1"/>
    <n v="0"/>
    <n v="1"/>
    <n v="4"/>
  </r>
  <r>
    <x v="283"/>
    <s v="Tânia Machado"/>
    <x v="0"/>
    <d v="2024-12-05T00:00:00"/>
    <s v="Yes"/>
    <n v="15"/>
    <x v="2"/>
    <x v="0"/>
    <n v="30"/>
    <x v="0"/>
    <n v="20"/>
    <n v="7"/>
    <n v="58"/>
  </r>
  <r>
    <x v="284"/>
    <s v="Ursula Silva"/>
    <x v="2"/>
    <d v="2024-12-06T00:00:00"/>
    <s v="No"/>
    <n v="10"/>
    <x v="0"/>
    <x v="1"/>
    <s v="-"/>
    <x v="0"/>
    <n v="20"/>
    <n v="10"/>
    <n v="20"/>
  </r>
  <r>
    <x v="285"/>
    <s v="Vanessa Moraes"/>
    <x v="1"/>
    <d v="2024-12-07T00:00:00"/>
    <s v="Yes"/>
    <n v="5"/>
    <x v="1"/>
    <x v="1"/>
    <s v="-"/>
    <x v="1"/>
    <n v="0"/>
    <n v="0"/>
    <n v="5"/>
  </r>
  <r>
    <x v="286"/>
    <s v="William Carvalho"/>
    <x v="0"/>
    <d v="2024-12-08T00:00:00"/>
    <s v="No"/>
    <n v="15"/>
    <x v="0"/>
    <x v="0"/>
    <n v="30"/>
    <x v="0"/>
    <n v="20"/>
    <n v="20"/>
    <n v="45"/>
  </r>
  <r>
    <x v="287"/>
    <s v="Xavier Reis"/>
    <x v="2"/>
    <d v="2024-12-09T00:00:00"/>
    <s v="Yes"/>
    <n v="10"/>
    <x v="2"/>
    <x v="1"/>
    <s v="-"/>
    <x v="0"/>
    <n v="20"/>
    <n v="12"/>
    <n v="18"/>
  </r>
  <r>
    <x v="288"/>
    <s v="Yasmin Rocha"/>
    <x v="1"/>
    <d v="2024-12-10T00:00:00"/>
    <s v="No"/>
    <n v="5"/>
    <x v="0"/>
    <x v="1"/>
    <s v="-"/>
    <x v="1"/>
    <n v="0"/>
    <n v="2"/>
    <n v="3"/>
  </r>
  <r>
    <x v="289"/>
    <s v="Zacarias Duarte"/>
    <x v="0"/>
    <d v="2024-12-11T00:00:00"/>
    <s v="Yes"/>
    <n v="15"/>
    <x v="1"/>
    <x v="0"/>
    <n v="30"/>
    <x v="0"/>
    <n v="20"/>
    <n v="5"/>
    <n v="60"/>
  </r>
  <r>
    <x v="290"/>
    <s v="Amanda Freitas"/>
    <x v="2"/>
    <d v="2024-12-12T00:00:00"/>
    <s v="No"/>
    <n v="10"/>
    <x v="0"/>
    <x v="1"/>
    <s v="-"/>
    <x v="0"/>
    <n v="20"/>
    <n v="10"/>
    <n v="20"/>
  </r>
  <r>
    <x v="291"/>
    <s v="Bruno Almeida"/>
    <x v="1"/>
    <d v="2024-12-13T00:00:00"/>
    <s v="Yes"/>
    <n v="5"/>
    <x v="2"/>
    <x v="1"/>
    <s v="-"/>
    <x v="1"/>
    <n v="0"/>
    <n v="0"/>
    <n v="5"/>
  </r>
  <r>
    <x v="292"/>
    <s v="Carla Siqueira"/>
    <x v="0"/>
    <d v="2024-12-14T00:00:00"/>
    <s v="No"/>
    <n v="15"/>
    <x v="0"/>
    <x v="0"/>
    <n v="30"/>
    <x v="0"/>
    <n v="20"/>
    <n v="3"/>
    <n v="62"/>
  </r>
  <r>
    <x v="293"/>
    <s v="Diogo Ramos"/>
    <x v="2"/>
    <d v="2024-12-15T00:00:00"/>
    <s v="Yes"/>
    <n v="10"/>
    <x v="1"/>
    <x v="1"/>
    <s v="-"/>
    <x v="0"/>
    <n v="20"/>
    <n v="15"/>
    <n v="15"/>
  </r>
  <r>
    <x v="294"/>
    <s v="Elisa Magalhães"/>
    <x v="1"/>
    <d v="2024-12-16T00:00:00"/>
    <s v="No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7E177-98CC-41B3-A5B6-696C449B4F80}" name="Tabela dinâmica7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57:C58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Média de Total Value" fld="12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DC5D9-5E41-4799-B7CB-3BC7ACFCC8A9}" name="Tabela dinâmica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Plans">
  <location ref="C48:D52" firstHeaderRow="1" firstDataRow="1" firstDataCol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%" fld="0" subtotal="count" showDataAs="percentOfCol" baseField="2" baseItem="0" numFmtId="1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406F4-5326-428A-A626-6426724CF248}" name="tbl_total_sales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43:C44" firstHeaderRow="1" firstDataRow="1" firstDataCol="0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Items count="1">
    <i/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014FC-D3A7-4A0C-ACBB-786489EA3233}" name="tbl_usuarios_ativos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4:D38" firstHeaderRow="1" firstDataRow="1" firstDataCol="1"/>
  <pivotFields count="13">
    <pivotField dataField="1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ntagem de Subscriber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DACD8-E32D-44E2-A5AC-FDB91E873911}" name="tbl_minecraft_season_pass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7:D29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9"/>
  </rowFields>
  <rowItems count="2">
    <i>
      <x v="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00E45-FAD4-483E-B488-55C587D0328B}" name="tbl_ea_play_season_pass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9:D21" firstHeaderRow="1" firstDataRow="1" firstDataCol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numFmtId="14" showAll="0"/>
    <pivotField showAll="0"/>
    <pivotField numFmtId="44"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numFmtId="44" showAll="0"/>
    <pivotField numFmtId="44" showAll="0"/>
    <pivotField dataField="1" numFmtId="44" showAll="0"/>
  </pivotFields>
  <rowFields count="1">
    <field x="7"/>
  </rowFields>
  <rowItems count="2">
    <i>
      <x v="1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F0CD5-F314-4BFD-BE02-F5C14CE7FCE0}" name="tbl_plans_type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Plans">
  <location ref="C8:E12" firstHeaderRow="0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ubs. Plan" fld="0" subtotal="count" baseField="2" baseItem="0"/>
    <dataField name="%" fld="0" subtotal="count" showDataAs="percentOfCol" baseField="2" baseItem="0" numFmtId="10"/>
  </dataFields>
  <chartFormats count="2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D979FE7-CB8B-4D1E-B2C0-7CE06B98A75A}" sourceName="Subscription Type">
  <pivotTables>
    <pivotTable tabId="3" name="Tabela dinâmica6"/>
  </pivotTables>
  <data>
    <tabular pivotCacheId="833745148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C47FCBBB-F363-4A3B-BF9D-8C6A83167A05}" sourceName="Plan">
  <pivotTables>
    <pivotTable tabId="3" name="tbl_plans_type"/>
  </pivotTables>
  <data>
    <tabular pivotCacheId="833745148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E868DC0-D63F-4709-AFD9-98A52B1F864A}" cache="SegmentaçãodeDados_Subscription_Type" caption="Subscription Type" style="SlicerStyleLight6 2" rowHeight="257175"/>
  <slicer name="Plan" xr10:uid="{0DE14BA9-F5B0-475A-8B12-608009C7ABD3}" cache="SegmentaçãodeDados_Plan" caption="Plan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sortState xmlns:xlrd2="http://schemas.microsoft.com/office/spreadsheetml/2017/richdata2" ref="A2:M296">
    <sortCondition ref="D1:D296"/>
  </sortState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B5" zoomScaleNormal="100" workbookViewId="0">
      <selection activeCell="D58" sqref="D5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81" zoomScale="90" zoomScaleNormal="90" workbookViewId="0">
      <selection activeCell="D58" sqref="D5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3236</v>
      </c>
      <c r="B6" s="8" t="s">
        <v>34</v>
      </c>
      <c r="C6" s="8" t="s">
        <v>26</v>
      </c>
      <c r="D6" s="10">
        <v>45353</v>
      </c>
      <c r="E6" s="8" t="s">
        <v>23</v>
      </c>
      <c r="F6" s="11">
        <v>10</v>
      </c>
      <c r="G6" s="8" t="s">
        <v>20</v>
      </c>
      <c r="H6" s="8" t="s">
        <v>23</v>
      </c>
      <c r="I6" s="11" t="s">
        <v>311</v>
      </c>
      <c r="J6" s="8" t="s">
        <v>19</v>
      </c>
      <c r="K6" s="11">
        <v>20</v>
      </c>
      <c r="L6" s="11">
        <v>2</v>
      </c>
      <c r="M6" s="11">
        <v>28</v>
      </c>
    </row>
    <row r="7" spans="1:13" ht="16.5" customHeight="1" x14ac:dyDescent="0.25">
      <c r="A7" s="8">
        <v>3237</v>
      </c>
      <c r="B7" s="8" t="s">
        <v>35</v>
      </c>
      <c r="C7" s="8" t="s">
        <v>18</v>
      </c>
      <c r="D7" s="10">
        <v>45354</v>
      </c>
      <c r="E7" s="8" t="s">
        <v>19</v>
      </c>
      <c r="F7" s="11">
        <v>15</v>
      </c>
      <c r="G7" s="8" t="s">
        <v>27</v>
      </c>
      <c r="H7" s="8" t="s">
        <v>19</v>
      </c>
      <c r="I7" s="11">
        <v>30</v>
      </c>
      <c r="J7" s="8" t="s">
        <v>19</v>
      </c>
      <c r="K7" s="11">
        <v>20</v>
      </c>
      <c r="L7" s="11">
        <v>10</v>
      </c>
      <c r="M7" s="11">
        <v>55</v>
      </c>
    </row>
    <row r="8" spans="1:13" ht="16.5" customHeight="1" x14ac:dyDescent="0.25">
      <c r="A8" s="8">
        <v>3238</v>
      </c>
      <c r="B8" s="8" t="s">
        <v>36</v>
      </c>
      <c r="C8" s="8" t="s">
        <v>22</v>
      </c>
      <c r="D8" s="10">
        <v>45355</v>
      </c>
      <c r="E8" s="8" t="s">
        <v>19</v>
      </c>
      <c r="F8" s="11">
        <v>5</v>
      </c>
      <c r="G8" s="8" t="s">
        <v>24</v>
      </c>
      <c r="H8" s="8" t="s">
        <v>23</v>
      </c>
      <c r="I8" s="11" t="s">
        <v>311</v>
      </c>
      <c r="J8" s="8" t="s">
        <v>23</v>
      </c>
      <c r="K8" s="11">
        <v>0</v>
      </c>
      <c r="L8" s="11">
        <v>0</v>
      </c>
      <c r="M8" s="11">
        <v>5</v>
      </c>
    </row>
    <row r="9" spans="1:13" ht="16.5" customHeight="1" x14ac:dyDescent="0.25">
      <c r="A9" s="8">
        <v>3235</v>
      </c>
      <c r="B9" s="8" t="s">
        <v>29</v>
      </c>
      <c r="C9" s="8" t="s">
        <v>22</v>
      </c>
      <c r="D9" s="10">
        <v>45356</v>
      </c>
      <c r="E9" s="8" t="s">
        <v>19</v>
      </c>
      <c r="F9" s="11">
        <v>5</v>
      </c>
      <c r="G9" s="8" t="s">
        <v>20</v>
      </c>
      <c r="H9" s="8" t="s">
        <v>23</v>
      </c>
      <c r="I9" s="11" t="s">
        <v>311</v>
      </c>
      <c r="J9" s="8" t="s">
        <v>23</v>
      </c>
      <c r="K9" s="11">
        <v>0</v>
      </c>
      <c r="L9" s="11">
        <v>1</v>
      </c>
      <c r="M9" s="11">
        <v>4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E58"/>
  <sheetViews>
    <sheetView showGridLines="0" topLeftCell="B41" workbookViewId="0">
      <selection activeCell="D58" sqref="D58"/>
    </sheetView>
  </sheetViews>
  <sheetFormatPr defaultRowHeight="15" x14ac:dyDescent="0.25"/>
  <cols>
    <col min="3" max="3" width="19.7109375" bestFit="1" customWidth="1"/>
    <col min="4" max="4" width="26.140625" bestFit="1" customWidth="1"/>
    <col min="5" max="5" width="8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3:5" x14ac:dyDescent="0.25">
      <c r="C5" t="s">
        <v>313</v>
      </c>
    </row>
    <row r="8" spans="3:5" x14ac:dyDescent="0.25">
      <c r="C8" s="12" t="s">
        <v>319</v>
      </c>
      <c r="D8" t="s">
        <v>318</v>
      </c>
      <c r="E8" t="s">
        <v>317</v>
      </c>
    </row>
    <row r="9" spans="3:5" x14ac:dyDescent="0.25">
      <c r="C9" s="13" t="s">
        <v>22</v>
      </c>
      <c r="D9" s="14">
        <v>101</v>
      </c>
      <c r="E9" s="15">
        <v>0.34237288135593219</v>
      </c>
    </row>
    <row r="10" spans="3:5" x14ac:dyDescent="0.25">
      <c r="C10" s="13" t="s">
        <v>26</v>
      </c>
      <c r="D10" s="14">
        <v>96</v>
      </c>
      <c r="E10" s="15">
        <v>0.3254237288135593</v>
      </c>
    </row>
    <row r="11" spans="3:5" x14ac:dyDescent="0.25">
      <c r="C11" s="13" t="s">
        <v>18</v>
      </c>
      <c r="D11" s="14">
        <v>98</v>
      </c>
      <c r="E11" s="15">
        <v>0.33220338983050846</v>
      </c>
    </row>
    <row r="12" spans="3:5" x14ac:dyDescent="0.25">
      <c r="C12" s="13" t="s">
        <v>315</v>
      </c>
      <c r="D12" s="14">
        <v>295</v>
      </c>
      <c r="E12" s="15">
        <v>1</v>
      </c>
    </row>
    <row r="17" spans="3:5" x14ac:dyDescent="0.25">
      <c r="C17" t="s">
        <v>321</v>
      </c>
    </row>
    <row r="19" spans="3:5" x14ac:dyDescent="0.25">
      <c r="C19" s="12" t="s">
        <v>314</v>
      </c>
      <c r="D19" t="s">
        <v>320</v>
      </c>
    </row>
    <row r="20" spans="3:5" x14ac:dyDescent="0.25">
      <c r="C20" s="13" t="s">
        <v>19</v>
      </c>
      <c r="D20" s="16">
        <v>5388</v>
      </c>
      <c r="E20" s="17">
        <f>GETPIVOTDATA("Total Value",$C$19,"EA Play Season Pass","Yes")</f>
        <v>5388</v>
      </c>
    </row>
    <row r="21" spans="3:5" x14ac:dyDescent="0.25">
      <c r="C21" s="13" t="s">
        <v>315</v>
      </c>
      <c r="D21" s="16">
        <v>5388</v>
      </c>
    </row>
    <row r="25" spans="3:5" x14ac:dyDescent="0.25">
      <c r="C25" t="s">
        <v>322</v>
      </c>
    </row>
    <row r="27" spans="3:5" x14ac:dyDescent="0.25">
      <c r="C27" s="12" t="s">
        <v>314</v>
      </c>
      <c r="D27" t="s">
        <v>320</v>
      </c>
    </row>
    <row r="28" spans="3:5" x14ac:dyDescent="0.25">
      <c r="C28" s="13" t="s">
        <v>19</v>
      </c>
      <c r="D28" s="16">
        <v>7189</v>
      </c>
      <c r="E28" s="17">
        <f>GETPIVOTDATA("Total Value",$C$27,"Minecraft Season Pass","Yes")</f>
        <v>7189</v>
      </c>
    </row>
    <row r="29" spans="3:5" x14ac:dyDescent="0.25">
      <c r="C29" s="13" t="s">
        <v>315</v>
      </c>
      <c r="D29" s="16">
        <v>7189</v>
      </c>
    </row>
    <row r="32" spans="3:5" x14ac:dyDescent="0.25">
      <c r="C32" t="s">
        <v>325</v>
      </c>
    </row>
    <row r="34" spans="3:5" x14ac:dyDescent="0.25">
      <c r="C34" s="12" t="s">
        <v>314</v>
      </c>
      <c r="D34" t="s">
        <v>316</v>
      </c>
    </row>
    <row r="35" spans="3:5" x14ac:dyDescent="0.25">
      <c r="C35" s="13" t="s">
        <v>22</v>
      </c>
      <c r="D35" s="14">
        <v>101</v>
      </c>
    </row>
    <row r="36" spans="3:5" x14ac:dyDescent="0.25">
      <c r="C36" s="13" t="s">
        <v>18</v>
      </c>
      <c r="D36" s="14">
        <v>98</v>
      </c>
      <c r="E36">
        <f>GETPIVOTDATA("Subscriber ID",$C$34)</f>
        <v>295</v>
      </c>
    </row>
    <row r="37" spans="3:5" x14ac:dyDescent="0.25">
      <c r="C37" s="13" t="s">
        <v>26</v>
      </c>
      <c r="D37" s="14">
        <v>96</v>
      </c>
    </row>
    <row r="38" spans="3:5" x14ac:dyDescent="0.25">
      <c r="C38" s="13" t="s">
        <v>315</v>
      </c>
      <c r="D38" s="14">
        <v>295</v>
      </c>
    </row>
    <row r="41" spans="3:5" x14ac:dyDescent="0.25">
      <c r="C41" t="s">
        <v>323</v>
      </c>
    </row>
    <row r="43" spans="3:5" x14ac:dyDescent="0.25">
      <c r="C43" t="s">
        <v>320</v>
      </c>
    </row>
    <row r="44" spans="3:5" x14ac:dyDescent="0.25">
      <c r="C44" s="16">
        <v>7633</v>
      </c>
      <c r="D44" s="18">
        <f>GETPIVOTDATA("Total Value",$C$43)</f>
        <v>7633</v>
      </c>
    </row>
    <row r="46" spans="3:5" x14ac:dyDescent="0.25">
      <c r="C46" t="s">
        <v>324</v>
      </c>
    </row>
    <row r="48" spans="3:5" x14ac:dyDescent="0.25">
      <c r="C48" s="12" t="s">
        <v>319</v>
      </c>
      <c r="D48" t="s">
        <v>317</v>
      </c>
    </row>
    <row r="49" spans="3:4" x14ac:dyDescent="0.25">
      <c r="C49" s="13" t="s">
        <v>20</v>
      </c>
      <c r="D49" s="15">
        <v>0.47118644067796611</v>
      </c>
    </row>
    <row r="50" spans="3:4" x14ac:dyDescent="0.25">
      <c r="C50" s="13" t="s">
        <v>27</v>
      </c>
      <c r="D50" s="15">
        <v>0.28813559322033899</v>
      </c>
    </row>
    <row r="51" spans="3:4" x14ac:dyDescent="0.25">
      <c r="C51" s="13" t="s">
        <v>24</v>
      </c>
      <c r="D51" s="15">
        <v>0.24067796610169492</v>
      </c>
    </row>
    <row r="52" spans="3:4" x14ac:dyDescent="0.25">
      <c r="C52" s="13" t="s">
        <v>315</v>
      </c>
      <c r="D52" s="15">
        <v>1</v>
      </c>
    </row>
    <row r="55" spans="3:4" x14ac:dyDescent="0.25">
      <c r="C55" t="s">
        <v>326</v>
      </c>
    </row>
    <row r="57" spans="3:4" x14ac:dyDescent="0.25">
      <c r="C57" t="s">
        <v>327</v>
      </c>
    </row>
    <row r="58" spans="3:4" x14ac:dyDescent="0.25">
      <c r="C58" s="16">
        <v>25.874576271186442</v>
      </c>
      <c r="D58" s="18">
        <f>GETPIVOTDATA("Total Value",$C$57)</f>
        <v>25.874576271186442</v>
      </c>
    </row>
  </sheetData>
  <pageMargins left="0.511811024" right="0.511811024" top="0.78740157499999996" bottom="0.78740157499999996" header="0.31496062000000002" footer="0.31496062000000002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06"/>
  <sheetViews>
    <sheetView showGridLines="0" showRowColHeaders="0" tabSelected="1" zoomScale="85" zoomScaleNormal="85" workbookViewId="0">
      <selection activeCell="Q33" sqref="Q33"/>
    </sheetView>
  </sheetViews>
  <sheetFormatPr defaultRowHeight="15" x14ac:dyDescent="0.25"/>
  <cols>
    <col min="1" max="1" width="28.140625" style="5" customWidth="1"/>
    <col min="2" max="2" width="3.5703125" customWidth="1"/>
    <col min="12" max="12" width="6.5703125" customWidth="1"/>
  </cols>
  <sheetData>
    <row r="2" spans="1:19" ht="30.75" customHeight="1" thickBot="1" x14ac:dyDescent="0.35">
      <c r="C2" s="21" t="s">
        <v>328</v>
      </c>
      <c r="D2" s="21"/>
      <c r="E2" s="21"/>
      <c r="F2" s="21"/>
      <c r="G2" s="21"/>
      <c r="H2" s="21"/>
      <c r="I2" s="21"/>
      <c r="J2" s="21"/>
      <c r="K2" s="21"/>
      <c r="L2" s="21"/>
      <c r="M2" s="20"/>
      <c r="N2" s="19"/>
      <c r="O2" s="19"/>
      <c r="P2" s="19"/>
      <c r="Q2" s="19"/>
      <c r="R2" s="19"/>
      <c r="S2" s="19"/>
    </row>
    <row r="3" spans="1:19" ht="21" customHeight="1" thickTop="1" x14ac:dyDescent="0.25"/>
    <row r="4" spans="1:19" s="7" customFormat="1" ht="18" customHeight="1" x14ac:dyDescent="0.25">
      <c r="A4" s="22" t="s">
        <v>329</v>
      </c>
    </row>
    <row r="5" spans="1:19" s="7" customFormat="1" ht="8.25" customHeight="1" x14ac:dyDescent="0.25">
      <c r="A5" s="5"/>
    </row>
    <row r="6" spans="1:19" s="7" customFormat="1" ht="7.5" customHeight="1" x14ac:dyDescent="0.25">
      <c r="A6" s="5"/>
    </row>
    <row r="7" spans="1:19" s="7" customFormat="1" ht="10.5" customHeight="1" x14ac:dyDescent="0.25">
      <c r="A7" s="5"/>
    </row>
    <row r="8" spans="1:19" s="7" customFormat="1" ht="9.75" customHeight="1" x14ac:dyDescent="0.25">
      <c r="A8" s="5"/>
    </row>
    <row r="9" spans="1:19" s="7" customFormat="1" ht="33" customHeight="1" x14ac:dyDescent="0.25">
      <c r="A9" s="5"/>
    </row>
    <row r="10" spans="1:19" s="7" customFormat="1" x14ac:dyDescent="0.25">
      <c r="A10" s="5"/>
    </row>
    <row r="11" spans="1:19" s="7" customFormat="1" x14ac:dyDescent="0.25">
      <c r="A11" s="5"/>
    </row>
    <row r="12" spans="1:19" s="7" customFormat="1" x14ac:dyDescent="0.25">
      <c r="A12" s="5"/>
    </row>
    <row r="13" spans="1:19" s="7" customFormat="1" x14ac:dyDescent="0.25">
      <c r="A13" s="5"/>
    </row>
    <row r="14" spans="1:19" s="7" customFormat="1" x14ac:dyDescent="0.25">
      <c r="A14" s="5"/>
    </row>
    <row r="15" spans="1:19" s="7" customFormat="1" x14ac:dyDescent="0.25">
      <c r="A15" s="5"/>
    </row>
    <row r="16" spans="1:19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</sheetData>
  <mergeCells count="1">
    <mergeCell ref="C2:L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JOAO DONISETE CUSTODIO</cp:lastModifiedBy>
  <dcterms:created xsi:type="dcterms:W3CDTF">2024-12-19T13:13:10Z</dcterms:created>
  <dcterms:modified xsi:type="dcterms:W3CDTF">2026-01-17T20:32:56Z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